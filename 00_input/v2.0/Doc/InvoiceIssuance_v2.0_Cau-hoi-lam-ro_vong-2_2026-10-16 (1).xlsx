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xr:revisionPtr revIDLastSave="0" documentId="8_{F8C3D13E-F523-4D91-8723-BA984602D109}" xr6:coauthVersionLast="47" xr6:coauthVersionMax="47" xr10:uidLastSave="{00000000-0000-0000-0000-000000000000}"/>
  <bookViews>
    <workbookView xWindow="0" yWindow="0" windowWidth="0" windowHeight="0" xr2:uid="{00000000-000D-0000-FFFF-FFFF00000000}"/>
  </bookViews>
  <sheets>
    <sheet name="Câu hỏi vòng 2" sheetId="1" r:id="rId1"/>
    <sheet name="Đã chốt vòng 1" sheetId="2" r:id="rId2"/>
    <sheet name="Tổng hợp" sheetId="3" r:id="rId3"/>
  </sheets>
  <definedNames>
    <definedName name="_xlnm._FilterDatabase" localSheetId="0" hidden="1">'Câu hỏi vòng 2'!$A$4:$S$53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3" l="1"/>
  <c r="H6" i="3"/>
  <c r="G6" i="3"/>
  <c r="F6" i="3"/>
  <c r="E6" i="3"/>
  <c r="D6" i="3"/>
  <c r="C6" i="3"/>
  <c r="I5" i="3"/>
  <c r="H5" i="3"/>
  <c r="G5" i="3"/>
  <c r="F5" i="3"/>
  <c r="E5" i="3"/>
  <c r="D5" i="3"/>
  <c r="C5" i="3"/>
  <c r="I4" i="3"/>
  <c r="I7" i="3" s="1"/>
  <c r="H4" i="3"/>
  <c r="H7" i="3" s="1"/>
  <c r="G4" i="3"/>
  <c r="G7" i="3" s="1"/>
  <c r="F4" i="3"/>
  <c r="F7" i="3" s="1"/>
  <c r="E4" i="3"/>
  <c r="E7" i="3" s="1"/>
  <c r="D4" i="3"/>
  <c r="D7" i="3" s="1"/>
  <c r="C4" i="3"/>
  <c r="C7" i="3" s="1"/>
</calcChain>
</file>

<file path=xl/sharedStrings.xml><?xml version="1.0" encoding="utf-8"?>
<sst xmlns="http://schemas.openxmlformats.org/spreadsheetml/2006/main" count="779" uniqueCount="522">
  <si>
    <t>CÂU HỎI LÀM RÕ VÒNG 2 — INVOICE ISSUANCE ARCHITECTURE v2.0 (URD rev 2.2)</t>
  </si>
  <si>
    <t>Sau khi QC trả lời vòng 1 (20/49 câu) và đối chiếu flow URD §B.I–III, ngày 16/10/2026. Chỉ gồm câu còn Open; câu đã chốt xem sheet "Đã chốt vòng 1". Câu "Rõ một phần" đã được viết lại, chỉ hỏi phần còn thiếu. Nguồn: 02_analyze-requirements/v2.0/&lt;MODULE&gt;/risk_assessment.md. Cột vàng để PO / BA điền.</t>
  </si>
  <si>
    <t>STT</t>
  </si>
  <si>
    <t>Mã câu hỏi</t>
  </si>
  <si>
    <t>Module</t>
  </si>
  <si>
    <t>Nội dung cần làm rõ</t>
  </si>
  <si>
    <t>Câu hỏi cho PO / BA (vòng 2)</t>
  </si>
  <si>
    <t>Mức độ</t>
  </si>
  <si>
    <t>Mã GAP (DOC-READINESS)</t>
  </si>
  <si>
    <t>Tình trạng sau vòng 1</t>
  </si>
  <si>
    <t>Trả lời vòng 1 (QC)</t>
  </si>
  <si>
    <t>Đã cập nhật vào analyze</t>
  </si>
  <si>
    <t>Vị trí trong tài liệu</t>
  </si>
  <si>
    <t>Trích dẫn tài liệu (nguyên văn)</t>
  </si>
  <si>
    <t>Phân tích của QC</t>
  </si>
  <si>
    <t>REQ liên quan</t>
  </si>
  <si>
    <t>SC phụ thuộc trực tiếp</t>
  </si>
  <si>
    <t>Trạng thái</t>
  </si>
  <si>
    <t xml:space="preserve">Câu trả lời của QC </t>
  </si>
  <si>
    <t>Người trả lời</t>
  </si>
  <si>
    <t>Ngày trả lời</t>
  </si>
  <si>
    <t>CL-XHD-01</t>
  </si>
  <si>
    <t>XHD</t>
  </si>
  <si>
    <t>BR-DB-01 chỉ còn 2 sự kiện, nhưng BR khác vẫn cần "tạo đơn" và "cập nhật thông tin khách"</t>
  </si>
  <si>
    <t>Trước khi phát hành HĐ, SPF có gửi sang INVOICE (a) bản tin khi đơn được tạo và (b) bản tin khi KH sửa thông tin (tên, MST, địa chỉ xuất HĐ…) không? Nếu không có (a): "thời gian tạo đơn" dùng cho delay 2h FPL (BR-XHD-03) lấy từ trường nào của bản tin thanh toán? Nếu không có (b): "thông tin mới nhất" của BR-DB-03 lấy từ đâu tại thời điểm phát hành?</t>
  </si>
  <si>
    <t>Critical</t>
  </si>
  <si>
    <t>GAP-42</t>
  </si>
  <si>
    <t>QC đã rà — chuyển PO</t>
  </si>
  <si>
    <t>Cần làm rõ là đồng bộ thông tin gì, lúc nào, nếu sau khi phát hành sẽ không cập nhật thông tin khách hàng/ đơn hàng, nếu đồng bộ trước khi phát hàng hóa đơn thì sẽ hỏi lại đồng bộ sự kiện "tạo đơn" và "cập nhật thông tin khách hàng"</t>
  </si>
  <si>
    <t>🔎 QC rà lại 16/10/2026: QC đề nghị hỏi rõ hơn: SPF đồng bộ thông tin gì, vào lúc nào. Sau khi phát hành thì HĐ không cập nhật lại thông tin KH / đơn; nếu có đồng bộ trước khi phát hành thì đó chính là 2 sự kiện "tạo đơn" / "cập nhật thông tin KH". Flow §B.I.b (DOC-v2.0-FIG-03 (ảnh: Workflow ĐỒNG BỘ &amp; XUẤT HÓA ĐƠN TỰ ĐỘNG (v2.0).png)) bước 1 chỉ ghi "Nhận đơn hàng và tín hiệu giao · BR-DB-01, 02" — không bổ sung sự kiện. ⇒ Vẫn Open. Nguồn: QC trả lời 16/10/2026 vòng 1</t>
  </si>
  <si>
    <t>DOC-v2.0-01 BR-DB-01 (L345) ↔ BR-DB-03 (L359) ↔ BR-XHD-03 (L399)</t>
  </si>
  <si>
    <t>[BR-DB-01 — DOC-v2.0-01 §I.c · L345]
    Áp dụng chung cho mọi kênh bán: thanh toán, hủy đơn hàng.
[BR-DB-03 — dùng sự kiện không còn trong danh sách — L359]
    Cập nhật thông tin khách không kích hoạt phát hành hóa đơn; lần phát hành tiếp theo dùng thông tin mới nhất.
[BR-XHD-03 — mốc cần dữ liệu tạo đơn — L399]
    Kênh bán FPL: Xét delay 2h (lấy chuẩn theo thời gian tạo đơn)</t>
  </si>
  <si>
    <t>Doc tự mâu thuẫn. SC-XHD-020 giữ chỗ, Then chờ câu trả lời.</t>
  </si>
  <si>
    <t>REQ-XHD-003, REQ-XHD-008</t>
  </si>
  <si>
    <t>SC-XHD-020</t>
  </si>
  <si>
    <t>Open</t>
  </si>
  <si>
    <t>CL-XHD-02</t>
  </si>
  <si>
    <t>FPL: khách không lấy HĐ, hoặc quá 2 giờ không nhập thì sao? "(ví dụ FPL)" có kênh khác không?</t>
  </si>
  <si>
    <t>Trên kênh FPL, khách chọn lấy / không lấy HĐ và nhập thông tin ở bước nào (lúc đặt đơn hay sau khi đặt), INVOICE nhận lựa chọn này qua trường nào? Với 2 tình huống: (1) khách chọn không lấy HĐ — INVOICE vẫn phát hành HĐ với thông tin hợp đồng, hay không phát hành? (2) khách chọn lấy HĐ nhưng hết 2 giờ vẫn chưa nhập — phát hành với thông tin hợp đồng, hay không phát hành?</t>
  </si>
  <si>
    <t>GAP-48</t>
  </si>
  <si>
    <t>Rõ một phần</t>
  </si>
  <si>
    <t>Làm rõ thao tác như thế nào? 
Ngoại lệ chỉ áp FPL (10)
Chỉnh lại câu hỏi rõ hơn giúp mình nha</t>
  </si>
  <si>
    <t>🟡 Làm rõ một phần 16/10/2026 — Đã chốt (3): ngoại lệ chọn lấy / không lấy HĐ chỉ áp kênh FPL (10); flow DOC-v2.0-FIG-03 (ảnh: Workflow ĐỒNG BỘ &amp; XUẤT HÓA ĐƠN TỰ ĐỘNG (v2.0).png) ghi "Kênh FPL: khách chọn lấy hóa đơn thì tự nhập thông tin trong tối đa 2 giờ" (không còn chữ "ví dụ"). Còn mở (1), (2); QC đề nghị hỏi rõ thao tác. Nguồn: QC trả lời 16/10/2026 vòng 1</t>
  </si>
  <si>
    <t>DOC-v2.0-01 BR-DB-03 · L356-358</t>
  </si>
  <si>
    <t>Ngoại lệ: kênh bán FPL cho khách chọn có lấy hóa đơn hay không (ví dụ FPL).
(...)
Khách được nhập thông tin trong tối đa 2 giờ, tính từ thời điểm ghi nhận trên hệ thống của kênh.</t>
  </si>
  <si>
    <t>2 nhánh không có đầu ra. Theo quy định HĐĐT vẫn phải lập HĐ dù khách không lấy — suy diễn của analyst, cần xác nhận. Ảnh hưởng SC-XHD-032..034.</t>
  </si>
  <si>
    <t>REQ-XHD-007</t>
  </si>
  <si>
    <t>SC-XHD-032, SC-XHD-033, SC-XHD-034</t>
  </si>
  <si>
    <t>CL-XHD-03</t>
  </si>
  <si>
    <t>7 trường khách FPL tự nhập: bắt buộc, định dạng, ai kiểm tra?</t>
  </si>
  <si>
    <t>Xác nhận kênh FPL kiểm tra dữ liệu khách nhập và INVOICE không kiểm lại? Nếu đúng, cho QC quy tắc kiểm tra của kênh FPL (trường bắt buộc, định dạng MST / email / SĐT) và nhờ đội dự án FPL hướng dẫn thao tác nhập trên STG.</t>
  </si>
  <si>
    <t>Major</t>
  </si>
  <si>
    <t>GAP-49</t>
  </si>
  <si>
    <t>theo logic FPL phải tự kiếm trả nhưng phải chờ đội dự án hướng đã thao tác lúc đó mới đưa ra quyết định được</t>
  </si>
  <si>
    <t>🔎 QC rà lại 16/10/2026: Theo logic, kênh FPL phải tự kiểm tra dữ liệu khách nhập; cần đội dự án hướng dẫn thao tác thực tế rồi mới chốt. ⇒ Vẫn Open. Nguồn: QC trả lời 16/10/2026 vòng 1</t>
  </si>
  <si>
    <t>DOC-v2.0-01 BR-DB-03 · L357</t>
  </si>
  <si>
    <t>Nếu khách chọn lấy hóa đơn thì dùng thông tin khách tự nhập: tên, email, số điện thoại, mã số thuế, mã định danh, mã quan hệ ngân sách, số hộ chiếu.</t>
  </si>
  <si>
    <t>Không có rule validate ⇒ test_data_catalog.md chỉ ghi được "có / rỗng". Nếu kênh FPL tự kiểm thì INVOICE chỉ nhận dữ liệu đã sạch.</t>
  </si>
  <si>
    <t>—</t>
  </si>
  <si>
    <t>CL-XHD-04</t>
  </si>
  <si>
    <t>Mốc delay 2h của FPL: "thời gian tạo đơn" hay "thời điểm ghi nhận trên hệ thống của kênh"? Áp cho DV hay cả TB?</t>
  </si>
  <si>
    <t>(1) Delay 2h xét xuất HĐ kênh FPL áp cho dòng DV, dòng TB hay cả hai? (2) "Thời điểm ghi nhận trên hệ thống của kênh" (mốc bắt đầu 2 giờ nhập thông tin) có trùng "thời gian tạo đơn" (mốc delay 2h) không? Nếu khác nhau, HĐ có thể phát hành khi khách vẫn còn thời gian nhập — khi đó dùng thông tin nào?</t>
  </si>
  <si>
    <t>GAP-51</t>
  </si>
  <si>
    <t>BR-DB-03 — L358]  Khách được nhập thông tin trong tối đa 2 giờ chỗ này là thời gian đồng bộ data còn - Thời gian khác hàng nhập
 [BR-XHD-03 — L399] Kênh bán FPL: Xét delay 2h (lấy chuẩn theo thời gian tạo đơn ) chỗ này là thời gian để xuất hóa đơn</t>
  </si>
  <si>
    <t>🟡 Làm rõ một phần 16/10/2026 — Đã chốt: hai mốc 2 giờ là hai việc khác nhau. BR-DB-03 (L358) = thời hạn khách nhập thông tin, tính từ thời điểm ghi nhận trên hệ thống của kênh. BR-XHD-03 (L399) = delay xét xuất HĐ, tính từ thời gian tạo đơn. Còn mở: delay áp DV, TB hay cả hai; và nếu 2 mốc gốc lệch nhau thì HĐ có thể ra trước khi khách hết hạn nhập. Nguồn: QC trả lời 16/10/2026 vòng 1</t>
  </si>
  <si>
    <t>DOC-v2.0-01 BR-XHD-03 (L399) ↔ BR-DB-03 (L358)</t>
  </si>
  <si>
    <t>[BR-XHD-03 — L399]
    Kênh bán FPL: Xét delay 2h (lấy chuẩn theo thời gian tạo đơn)
[BR-DB-03 — L358]
    Khách được nhập thông tin trong tối đa 2 giờ, tính từ thời điểm ghi nhận trên hệ thống của kênh.</t>
  </si>
  <si>
    <t>Hai mốc 2 giờ dùng 2 cách gọi khác nhau; nếu khác thời điểm thì có thể phát hành trước khi khách hết hạn nhập.</t>
  </si>
  <si>
    <t>REQ-XHD-021</t>
  </si>
  <si>
    <t>SC-XHD-050</t>
  </si>
  <si>
    <t>CL-XHD-05</t>
  </si>
  <si>
    <t>Lịch FPL "2h quét 1 lần": các mốc chạy và giờ chốt cụ thể? Có là tham số?</t>
  </si>
  <si>
    <t>BR-XHD-01 cho biết FPL quét 2 giờ/lần và đợt 22:05 chốt từ 0h–22h. Cần thêm: (1) các đợt trước 22:05 chạy lúc mấy giờ (vd 00:05, 02:05 … 20:05?) và mỗi đợt chốt dữ liệu tới giờ nào; (2) "hai khung giờ trước" trong câu L388 là 2 đợt nào; (3) ngoài phạm vi quét 0h–22h, đợt 22:05 còn khác các đợt 2 giờ thường ở điểm nào?</t>
  </si>
  <si>
    <t>GAP-50, GAP-52</t>
  </si>
  <si>
    <t>Check BR-XHD-01  giúp mình nha</t>
  </si>
  <si>
    <t>🟡 Làm rõ một phần 16/10/2026 — QC nhờ rà lại BR-XHD-01. URD đã nói được:
BR-XHD-01 — tiêu đề + phạm vi lịch chung — L379-380
Lịch xuất hóa đơn (tham số cấu hình)
Dùng chung một lịch cho mọi ngày và mọi kênh bán khác FPL
BR-XHD-06 — FPL — L414
Đối với Kênh bán FPL chỉ realtime từ sau mốc 22h
Flow §B.I.b — DOC-v2.0-FIG-03 (ảnh: Workflow ĐỒNG BỘ &amp; XUẤT HÓA ĐƠN TỰ ĐỘNG (v2.0).png) (ghi chú bước "Luồng worker / realtime")
Giờ chốt, giờ chạy là tham số cấu hình (BR-XHD-01, 02, 06).
⇒ Đã rõ: FPL quét 2 giờ/lần; đợt cuối 22:05 chốt từ 0h–22h; sau 22h FPL chỉ realtime; giờ chốt / giờ chạy là tham số cấu hình. "Không chia theo kênh" ở §A.1 được L380 giới hạn lại ("kênh bán khác FPL") ⇒ GAP-52 không còn mâu thuẫn. Còn mở: giờ chạy các đợt trước 22:05, mỗi đợt chốt tới giờ nào, "hai khung giờ trước" là khung nào. Nguồn: QC trả lời 16/10/2026 vòng 1</t>
  </si>
  <si>
    <t>DOC-v2.0-01 BR-XHD-01 · L386-388 ↔ §A.1 #3 · L63</t>
  </si>
  <si>
    <t>Xét riêng cho kênh bán FPL:
2h quét 1 lần
Mốc 22:05 chốt từ 0h đến 22 giờ (Do FPL có rule delay 2h nên phải bổ sung khung giờ để quét hết những case không quét được do delay ở hai khung giờ trước)
[§A.1 #3 — mục tiêu nói lịch chung — L63]
    Xuất hóa đơn cho tất cả kênh bán liệt kê bên đưới và có đơn hàng SPF, dùng một lịch chung (giờ chốt và giờ chạy là tham số cấu hình) thay vì chia theo kênh và theo ngày thường / cuối tháng.</t>
  </si>
  <si>
    <t>Không biết đợt đầu chạy lúc mấy giờ, mỗi đợt chốt tới đâu, "hai khung giờ trước" là khung nào. Mục tiêu §A.1 "không chia theo kênh" mâu thuẫn với lịch riêng FPL (GAP-52).</t>
  </si>
  <si>
    <t>REQ-XHD-017, REQ-XHD-026</t>
  </si>
  <si>
    <t>SC-XHD-047</t>
  </si>
  <si>
    <t>CL-XHD-07</t>
  </si>
  <si>
    <t>PĐK: nhận diện HĐ tổ chức, nguồn trạng thái PĐK, cách tính "2 ngày cuối tháng", duyệt muộn</t>
  </si>
  <si>
    <t>(1) HĐ tổ chức bị chặn vì chưa duyệt PĐK, sau đó PĐK được duyệt: đợt worker sau có phát hành không, hay "không autobill" nghĩa là phải xuất tay? (2) Đơn bán thêm trên HĐ tổ chức: xét PĐK của hợp đồng (đã duyệt từ lần bán mới) hay cần PĐK mới cho đơn bán thêm? (3) Trạng thái PĐK nằm ở trường nào trong dữ liệu SPF gửi sang?</t>
  </si>
  <si>
    <t>GAP-44, GAP-45, GAP-61</t>
  </si>
  <si>
    <t>HĐ có loại hình KH cấp 1 = Tổ chức, trạng thái PĐK lấy từ SPF, "2 ngày cuối tháng" = 2 ngày lịch ,</t>
  </si>
  <si>
    <t>🟡 Làm rõ một phần 16/10/2026 — Đã chốt: (1) HĐ tổ chức = hợp đồng có loại hình KH cấp 1 = Tổ chức; (2) trạng thái PĐK lấy từ SPF; (3) "2 ngày cuối tháng" = 2 ngày lịch cuối cùng của tháng. Còn mở: (4) duyệt PĐK muộn; PĐK của đơn bán thêm (GAP-61); trường SPF trả trạng thái PĐK. Nguồn: QC trả lời 16/10/2026 vòng 1</t>
  </si>
  <si>
    <t>DOC-v2.0-01 BR-XHD-03 · L400</t>
  </si>
  <si>
    <t>Hợp đồng tổ chức: chỉ phát hành khi đã duyệt PĐK; hai ngày cuối tháng không xét điều kiện này. Quên duyệt PĐK thì không autobill. Khi có thay đổi hoặc dịch chuyển luồng duyệt PĐK/hợp đồng thì phải hiệu chỉnh lại điều kiện này.</t>
  </si>
  <si>
    <t>4 điểm mở: (1) trường nào đánh dấu HĐ tổ chức (loại hình KH cấp 1?); (2) trạng thái PĐK lấy từ hệ thống nào; (3) "2 ngày cuối tháng" = 2 ngày lịch hay 2 ngày làm việc; (4) PĐK duyệt sau khi bị chặn thì đợt sau có phát hành. Thêm đơn bán thêm trên HĐ tổ chức đã duyệt PĐK: xét PĐK của lần nào (GAP-61). Ảnh hưởng SC-XHD-061..065, 068.</t>
  </si>
  <si>
    <t>REQ-XHD-022</t>
  </si>
  <si>
    <t>SC-XHD-064, SC-XHD-065</t>
  </si>
  <si>
    <t>CL-XHD-08</t>
  </si>
  <si>
    <t>Hợp đồng con không phát hành: ghi nhận ra sao? HĐ cha có phát hành thay?</t>
  </si>
  <si>
    <t>Dòng DV / TB trên hợp đồng con bị chặn thì hệ thống ghi nhận thế nào (ghi log ở đâu, đánh cờ, hay để tồn)? Phần này có được xuất trên HĐ của hợp đồng cha (dự án) không, hay xuất theo quy trình khác?</t>
  </si>
  <si>
    <t>GAP-46</t>
  </si>
  <si>
    <t>Vào tool tình trạng check xem có thông tin hd cha không nến có thì HD đó là HD còn</t>
  </si>
  <si>
    <t>🟡 Làm rõ một phần 16/10/2026 — Đã chốt cách nhận diện khi chuẩn bị dữ liệu: vào tool tình trạng kiểm tra hợp đồng; có thông tin hợp đồng cha ⇒ là hợp đồng con. Còn mở: dòng bị chặn được ghi nhận thế nào, HĐ cha có xuất thay không. Nguồn: QC trả lời 16/10/2026 vòng 1</t>
  </si>
  <si>
    <t>DOC-v2.0-01 BR-XHD-03 · L401</t>
  </si>
  <si>
    <t>Hợp đồng con: nhận diện hợp đồng con khi hợp đồng có gắn hợp đồng cha (hợp đồng dự án). Không phát hành hóa đơn trên hợp đồng con, cả thiết bị và dịch vụ.</t>
  </si>
  <si>
    <t>SC-XHD-066, 067 chỉ kiểm được "không phát hành". Không rõ có log, có cờ, hay dòng nằm tồn mãi.</t>
  </si>
  <si>
    <t>REQ-XHD-023</t>
  </si>
  <si>
    <t>CL-XHD-11</t>
  </si>
  <si>
    <t>Khóa chống trùng chốt theo bản nào, gồm field nào?</t>
  </si>
  <si>
    <t>"Dịch vụ hóa đơn" và "Gói dịch vụ" trong khóa chống trùng BR-XHD-08 ứng với cột nào trong dữ liệu đơn (bảng chi tiết đơn: ServiceCode? mã gói? SubServiceType?)</t>
  </si>
  <si>
    <t>GAP-41, GAP-56</t>
  </si>
  <si>
    <t>theo FILE V2.2</t>
  </si>
  <si>
    <t>🟡 Làm rõ một phần 16/10/2026 — Đã chốt theo URD 2.2 (L419): DV = mã đơn hàng + dịch vụ hóa đơn + gói dịch vụ; TB thêm phương thức triển khai. Câu §C#3 L651 ("khóa chống trùng có dùng SubServiceType") hết hiệu lực với chống trùng. Khóa map tín hiệu BR-DB-07 L374 (có SubserviceType) là khóa khác, giữ nguyên. Còn mở: field dữ liệu của "dịch vụ hóa đơn" và "gói dịch vụ" — cần schema (CL-XHD-29). Hết BLOCKING: SC-XHD-076..078 viết được TC theo khóa 2.2, chỉ phần field cụ thể của dữ liệu test chờ schema. Nguồn: QC trả lời 16/10/2026 vòng 1</t>
  </si>
  <si>
    <t>DOC-v2.0-01 BR-XHD-08 (L419) ↔ §C#3 (L649-651) ↔ BR-DB-07 (L374)</t>
  </si>
  <si>
    <t>[URD 2.2 BR-XHD-08 — L419, L422]
    Khóa xác định dòng: dịch vụ = mã đơn hàng + dịch vụ hóa đơn + Gói dịch vụ; thiết bị thêm phương thức triển khai.
    (...)
    Giữ nguyên
[URD 2.2 §C#3 — vẫn nói khóa dùng SubServiceType — L651]
    Khóa chống trùng có dùng SubServiceType nên có thể làm hai dòng bị coi là trùng.</t>
  </si>
  <si>
    <t>2.2 đổi khóa nhưng ghi "Giữ nguyên"; §C#3 và BR-DB-07 vẫn theo khóa cũ. "Dịch vụ hóa đơn" và "Gói dịch vụ" ứng với field nào trong dữ liệu chưa rõ. Theo quy tắc 2.2 thắng, TP giả định theo text 2.2. ⛔ Không sinh TC chi tiết dữ liệu khóa cho SC-XHD-076..079 tới khi trả lời.</t>
  </si>
  <si>
    <t>REQ-XHD-012, REQ-XHD-027</t>
  </si>
  <si>
    <t>SC-XHD-079</t>
  </si>
  <si>
    <t>CL-XHD-12</t>
  </si>
  <si>
    <t>SubServiceType 31 trùng ở 2 dịch vụ Tổng đài Oncall</t>
  </si>
  <si>
    <t>SubServiceType của "Thiết bị IP phone" đúng là 31 (trùng "Thiết bị Oncall") không? Nếu đúng, tín hiệu giao hàng map theo mã đơn + ServiceCode + SubserviceType + phương thức (BR-DB-07) phân biệt 2 thiết bị này bằng gì?</t>
  </si>
  <si>
    <t>Major (QC đề xuất)</t>
  </si>
  <si>
    <t>Co thiết bị Thiết bị IP phone nha</t>
  </si>
  <si>
    <t>🔎 QC rà lại 16/10/2026: QC xác nhận có dịch vụ "Thiết bị IP phone", nhưng chưa ai xác nhận SubServiceType 31 có đúng không. Vì khóa chống trùng đã chốt theo 2.2 (CL-XHD-11), rủi ro chuyển sang khóa map tín hiệu BR-DB-07 (vẫn có SubserviceType): tín hiệu giao của Thiết bị Oncall có thể khớp nhầm dòng Thiết bị IP phone. ⇒ Vẫn Open. Nguồn: QC trả lời 16/10/2026 vòng 1</t>
  </si>
  <si>
    <t>DOC-v2.0-01 §A.3 (L191-192, L259) + §C#3 (L649-651)</t>
  </si>
  <si>
    <t>31 – Thiết bị Oncall (Type 2)
31 – Thiết bị IP phone (Type 2)
(...)
Ô màu vàng: SubServiceType 31 trùng ở hai dịch vụ (Thiết bị Oncall, Thiết bị IP phone) của nhóm Tổng đài Oncall.</t>
  </si>
  <si>
    <t>Doc tự đưa vào điểm cần xác nhận. Nếu khóa còn dùng SubServiceType (CL-XHD-11) thì đơn có cả 2 TB này sẽ chỉ ra HĐ cho 1 dòng (SC-XHD-079).</t>
  </si>
  <si>
    <t>REQ-XHD-002, REQ-XHD-027</t>
  </si>
  <si>
    <t>CL-XHD-13</t>
  </si>
  <si>
    <t>Ý nghĩa cột Type 1–4 và quan hệ với ProductType DV/TB</t>
  </si>
  <si>
    <t>Xác nhận nghĩa Type 1–4 và với mỗi Type thì SPF gắn ProductType gì.</t>
  </si>
  <si>
    <t>Ghi chú cho QC
Danh sách được map (inner join) theo ServiceID giữa bảng dịch vụ và bảng nhóm dịch vụ: 55 dòng, 20 nhóm.
Đã loại: ServiceID = 2 (5 dịch vụ, SubServiceType 5-9) vì không có trong bảng nhóm dịch vụ.
Đã loại: ServiceID = 22 (GSafe) vì có trong bảng nhóm dịch vụ nhưng chưa có dịch vụ nào.
SubServiceType = 31 bị trùng ở 2 dịch vụ (Thiết bị Oncall, Thiết bị IP phone) của nhóm Tổng đài Oncall, đã tô vàng.
Cột Type (1-4) chưa có bảng mô tả ý nghĩa, cần PO xác nhận.</t>
  </si>
  <si>
    <t>🔎 QC rà lại 16/10/2026: Ghi chú của QC: danh sách dịch vụ được map theo ServiceID giữa bảng dịch vụ và bảng nhóm dịch vụ (55 dòng, 20 nhóm); đã loại ServiceID 2 và 22; SubServiceType 31 trùng ở 2 dịch vụ nhóm Tổng đài Oncall; cột Type (1–4) chưa có bảng mô tả ý nghĩa, cần PO xác nhận. ⇒ Vẫn Open, chuyển PO. Nguồn: QC trả lời 16/10/2026 vòng 1</t>
  </si>
  <si>
    <t>DOC-v2.0-01 §C#2 · L644-647</t>
  </si>
  <si>
    <t>Ý nghĩa cột Type (1 đến 4) của dịch vụ và cách map với ProductType (DV/TB).
Mục A.3, BR-DB-04
Danh sách dịch vụ ghi Type từ 1 đến 4, chưa có mô tả ý nghĩa.</t>
  </si>
  <si>
    <t>Suy diễn của analyst từ tên dịch vụ: Type 1 = Basic/cước chính, Type 2 = thiết bị, Type 3 = Extra/dịch vụ cộng thêm, Type 4 = triển khai. Nếu đúng thì Type 2 ⇔ TB, còn lại DV — nhưng "Đặt cọc thuê bao (Type 3)" và "Triển khai (Type 4)" là DV hay TB thì không suy được. INVOICE không suy diễn (BR-DB-04) nên ảnh hưởng chủ yếu là dữ liệu test.</t>
  </si>
  <si>
    <t>REQ-XHD-002, REQ-XHD-009</t>
  </si>
  <si>
    <t>CL-XHD-14</t>
  </si>
  <si>
    <t>"Hợp đồng có hiệu lực" và "đang cập nhật" là những giá trị trạng thái nào?</t>
  </si>
  <si>
    <t>Liệt kê trạng thái đơn = "đang cập nhật" và trạng thái hợp đồng = "có hiệu lực".</t>
  </si>
  <si>
    <t>GAP-13</t>
  </si>
  <si>
    <t>Mô tả trong tài liệu nào tôi chưa tìm ra</t>
  </si>
  <si>
    <t>🔎 QC rà lại 16/10/2026: Không tìm thấy mô tả trong tài liệu nào (URD 2.2, flow DOC-v2.0-FIG-03 (ảnh: Workflow ĐỒNG BỘ &amp; XUẤT HÓA ĐƠN TỰ ĐỘNG (v2.0).png)) ⇒ gap tài liệu, vẫn Open, chuyển PO. Nguồn: QC trả lời 16/10/2026 vòng 1</t>
  </si>
  <si>
    <t>DOC-v2.0-01 BR-XHD-10 · L425-426</t>
  </si>
  <si>
    <t>Đơn không ở trạng thái hủy hoặc đang cập nhật.
Thông tin chung phải đủ: hợp đồng có hiệu lực, Sale Team, Sale Channel, tên khách hàng, loại hình khách hàng cấp 1 và cấp 2, địa chỉ xuất hóa đơn, LocationID &gt; 0.</t>
  </si>
  <si>
    <t>Cần enum trạng thái đơn + hợp đồng để dựng SC-XHD-081, 082 (TP giả định theo v1.0).</t>
  </si>
  <si>
    <t>REQ-XHD-028, REQ-XHD-029</t>
  </si>
  <si>
    <t>SC-XHD-081</t>
  </si>
  <si>
    <t xml:space="preserve">trạng thái đơn hàng = bình thường và trạng thái hợp đồng bằng bình thường </t>
  </si>
  <si>
    <t>CL-XHD-15</t>
  </si>
  <si>
    <t>Log khi không hợp lệ: ghi ở đâu, nội dung gì, thứ tự validate, nhiều lỗi cùng lúc? Đơn không có khuyến mãi?</t>
  </si>
  <si>
    <t>(1) Log ghi bảng / cột nào, format? (2) Thứ tự kiểm, có log tất cả lỗi hay dừng ở lỗi đầu? (3) Đơn không có KM thì ID KM mang giá trị gì và có bị chặn không?</t>
  </si>
  <si>
    <t>GAP-29, GAP-30</t>
  </si>
  <si>
    <t>DOC-v2.0-01 BR-XHD-10 · L427-428</t>
  </si>
  <si>
    <t>Chi tiết từng dịch vụ phải có các ID dịch vụ, nhóm dịch vụ, gói dịch vụ, chính sách, câu lệnh giá, chương trình khuyến mãi &gt; 0.
Không hợp lệ thì không phát hành và ghi log; hệ thống không giữ chờ phát hành lại vì hóa đơn phải lập trong ngày.</t>
  </si>
  <si>
    <t>14 SC negative (SC-XHD-080..095) chỉ kiểm được "có log". Đơn không có chương trình khuyến mãi thì ID KM = 0? ⇒ theo chữ URD sẽ bị chặn.</t>
  </si>
  <si>
    <t>REQ-XHD-029, REQ-XHD-030, REQ-XHD-031</t>
  </si>
  <si>
    <t>SC-XHD-095</t>
  </si>
  <si>
    <t>Chi tiết từng dịch vụ phải có các ID dịch vụ, nhóm dịch vụ, gói dịch vụ, chính sách, câu lệnh giá, chương trình khuyến mãi &gt; 0. có thể xem ở Web admin 
 QC không có quyền vào xem log</t>
  </si>
  <si>
    <t>CL-XHD-16</t>
  </si>
  <si>
    <t>Job cảnh báo 15 phút: điều kiện, kênh gửi, người nhận, nội dung?</t>
  </si>
  <si>
    <t>Job cảnh báo những dòng nào, gửi qua kênh nào (mail?), cho ai, nội dung gì? Có thuộc v2.0 không?</t>
  </si>
  <si>
    <t>GAP-31</t>
  </si>
  <si>
    <t>DOC-v2.0-01 BR-XHD-10 · L429</t>
  </si>
  <si>
    <t>Job cảnh báo chạy 15 phút một lần để bổ sung thông tin kịp trước giờ chốt.</t>
  </si>
  <si>
    <t>Nằm trong BR in-scope nhưng không có đặc tả — SC-XHD-097 để P3.</t>
  </si>
  <si>
    <t>REQ-XHD-032</t>
  </si>
  <si>
    <t>SC-XHD-097</t>
  </si>
  <si>
    <t>CL-XHD-18</t>
  </si>
  <si>
    <t>Billing lỗi / timeout: hệ thống làm gì?</t>
  </si>
  <si>
    <t>Retry? Giữ rỗng chờ đợt sau? Cảnh báo?</t>
  </si>
  <si>
    <t>GAP-14</t>
  </si>
  <si>
    <t>DOC-v2.0-01 BR-XHD-13 · L439</t>
  </si>
  <si>
    <t>Phát hành qua Billing System, ghi BillNumber và BillDate vào giỏ tồn xuất hóa đơn</t>
  </si>
  <si>
    <t>Không có nhánh lỗi. TP giả định giữ BillNumber rỗng + log (SC-XHD-104).</t>
  </si>
  <si>
    <t>REQ-XHD-035</t>
  </si>
  <si>
    <t>SC-XHD-104</t>
  </si>
  <si>
    <t>CL-XHD-19</t>
  </si>
  <si>
    <t>Cột Note: thuộc bảng nào, format log tín hiệu giao hàng?</t>
  </si>
  <si>
    <t>Cột Note ở bảng nào, ghi những trường gì của tín hiệu, có ghi lý do (đã có HĐ / không khớp) không?</t>
  </si>
  <si>
    <t>GAP-27</t>
  </si>
  <si>
    <t>Chưa trả lời</t>
  </si>
  <si>
    <t>DOC-v2.0-01 BR-DB-07 · L375</t>
  </si>
  <si>
    <t>Nếu thiết bị đã có hóa đơn hoặc không khớp khóa thì không ghi nhận, chỉ ghi log nội dung tín hiệu vào cột Note.</t>
  </si>
  <si>
    <t>SC-XHD-026..028 chỉ kiểm định tính.</t>
  </si>
  <si>
    <t>REQ-XHD-013</t>
  </si>
  <si>
    <t xml:space="preserve"> QC không có quyền vào xem log</t>
  </si>
  <si>
    <t>CL-XHD-20</t>
  </si>
  <si>
    <t>Bản tin Order Event lỗi giải mã / thiếu trường</t>
  </si>
  <si>
    <t>Bản tin không giải mã được / thiếu trường bắt buộc thì bỏ qua + log, hay dừng consumer?</t>
  </si>
  <si>
    <t>GAP-26</t>
  </si>
  <si>
    <t>Không thấy mô tả ở file Invoice_Issuance_Architecture_v2_2_URD_v2_0_1310</t>
  </si>
  <si>
    <t>🔎 QC rà lại 16/10/2026: URD 2.2 không mô tả ⇒ gap tài liệu, vẫn Open, chuyển PO. Nguồn: QC trả lời 16/10/2026 vòng 1</t>
  </si>
  <si>
    <t>DOC-v2.0-01 §I.a Trigger · L332 *(derived from omission — URD không nói)*</t>
  </si>
  <si>
    <t>Sự kiện đơn hàng từ SPF; tín hiệu giao hàng hoàn tất; worker chạy theo lịch (BR-XHD-01).</t>
  </si>
  <si>
    <t>URD 2.2 không có nhánh lỗi khi nhận / giải mã bản tin. Chưa sinh SC.</t>
  </si>
  <si>
    <t xml:space="preserve">1 đơn hàng đều có cac thông tin bắt buộc nên sẽ không có TH nhận bản tin lỗi, trường hợp nếu lỗi thì là bug </t>
  </si>
  <si>
    <t>CL-XHD-21</t>
  </si>
  <si>
    <t>BR-XHD-18 "clear thuê thiết bị đầu cuối": có thuộc v2.0? Đặc tả?</t>
  </si>
  <si>
    <t>Flow v2.0 đã đưa BR-XHD-18 vào bước phát hành. Cần đặc tả: DVKH HO thao tác ở đâu (màn / tool nào; có phải cột "Clear thiết bị đầu cuối" trên màn Liệt kê cước — FIG-02 (ảnh: Danh sách hóa đơn của Hợp đồng.png) không), trước hay sau khi phát hành, và kết quả trên HĐ (bỏ dòng "thuê thiết bị đầu cuối" / đổi nội dung / lập HĐ điều chỉnh)?</t>
  </si>
  <si>
    <t>BLOCKING</t>
  </si>
  <si>
    <t>GAP-53</t>
  </si>
  <si>
    <t>🔎 Bổ sung 16/10/2026 từ flow §B.I.b — DOC-v2.0-FIG-03 (ảnh: Workflow ĐỒNG BỘ &amp; XUẤT HÓA ĐƠN TỰ ĐỘNG (v2.0).png), bước "Phát hành hóa đơn · BR-XHD-13, 14, 18" (ô tô màu = "Nội dung mới, đã sửa hoặc cần xác nhận"):
DVKH HO clear được "thuê TB đầu cuối".
Flow v2.0 đã đặt BR-XHD-18 trong luồng phát hành và ghi rõ đây là nội dung cần xác nhận ⇒ phần "thuộc v2.0" coi như có, nhưng vẫn chưa có đặc tả ⇒ giữ ⛔ BLOCKING cho REQ-XHD-039.</t>
  </si>
  <si>
    <t>DOC-v2.0-01 BR-XHD-18 · L449-452</t>
  </si>
  <si>
    <t>Bổ sung chức năng cho phép DVKH HO chủ động xử lý với hợp đồng có yêu cầu clear nội dung "thuê thiết bị đầu cuối" trên hóa đơn.
Mới (kịp plan các chức năng chính sẽ thự hiện)
[Ảnh màn hình hiện hữu — có sẵn cột cùng tên — DOC-v2.0-FIG-02 (ảnh: Danh sách hóa đơn của Hợp đồng.png) màn "LIỆT KÊ CƯỚC CỦA THUÊ BAO" · tiêu đề cột cuối bảng]
    Clear thiết bị đầu cuối</t>
  </si>
  <si>
    <t>Có thể có UI (duy nhất trong URD). Màn "Liệt kê cước" của Hệ thống Thông tin (FIG-02 (ảnh: Danh sách hóa đơn của Hợp đồng.png)) đã có cột "Clear thiết bị đầu cuối" cạnh "Hóa đơn điều chỉnh giảm", "Hóa đơn thay thế", "Gen hóa đơn" ⇒ suy diễn của analyst: BR-XHD-18 có thể là thao tác trên màn này, nhưng URD không nói. REQ-XHD-039 chưa có SC.</t>
  </si>
  <si>
    <t>REQ-XHD-039</t>
  </si>
  <si>
    <t xml:space="preserve">chưa chốt có thực hiện không để hỏi lại PM </t>
  </si>
  <si>
    <t>CL-XHD-22</t>
  </si>
  <si>
    <t>Mail cảnh báo bản tin trễ qua ngày + phương án xử lý: thuộc v2.0? Đặc tả?</t>
  </si>
  <si>
    <t>Mail cảnh báo có trong v2.0? Điều kiện phát hiện, lịch gửi, người nhận, nội dung? Phương án xử lý dòng trễ đã chốt chưa?</t>
  </si>
  <si>
    <t>GAP-02, GAP-11</t>
  </si>
  <si>
    <t>DOC-v2.0-01 §D#3 · L666-669</t>
  </si>
  <si>
    <t>Bản tin đồng bộ về chậm qua ngày, dòng không được luồng nào xử lý.
RISK-01
PM và SA xử lý; mail cảnh báo là yêu cầu bắt buộc đã thống nhất.</t>
  </si>
  <si>
    <t>Phụ lục ghi "không cần PO confirm" nhưng là "yêu cầu bắt buộc". REQ-XHD-042 chưa có SC; SC-XHD-045 chỉ ghi nhận hiện trạng.</t>
  </si>
  <si>
    <t>REQ-XHD-015, REQ-XHD-042</t>
  </si>
  <si>
    <t>SC-XHD-045</t>
  </si>
  <si>
    <t>check lại RISK-01  của  URD v2.1</t>
  </si>
  <si>
    <t>CL-XHD-23</t>
  </si>
  <si>
    <t>Phương án chặn phát hành trùng worker ↔ realtime</t>
  </si>
  <si>
    <t>Phương án đã chốt? Ngày có trên STG?</t>
  </si>
  <si>
    <t>GAP-12</t>
  </si>
  <si>
    <t>DOC-v2.0-01 §D#2 · L662-665</t>
  </si>
  <si>
    <t>Rủi ro phát hành hóa đơn trùng khi worker và realtime chạy song song.
BR-XHD-09
PM và SA chốt phương án kỹ thuật.</t>
  </si>
  <si>
    <t>RISK-XHD-02. Không có phương án ⇒ không biết expected khi 2 luồng tranh nhau.</t>
  </si>
  <si>
    <t>REQ-XHD-027</t>
  </si>
  <si>
    <t>Check lai BR-XHD-09 của  URD v2.1</t>
  </si>
  <si>
    <t>CL-XHD-24</t>
  </si>
  <si>
    <t>Cutover v1 → v2: có test trên STG không? Dữ liệu luồng cũ?</t>
  </si>
  <si>
    <t>Cutover có nằm trong phạm vi QC v2.0? Nếu có: STG có dữ liệu + service luồng cũ không?</t>
  </si>
  <si>
    <t>GAP-32</t>
  </si>
  <si>
    <t>DOC-v2.0-01 §D#1 · L658-661</t>
  </si>
  <si>
    <t>Chuyển đổi hệ thống v1 sang v2 (cutover, giai đoạn giao thoa, quét tay bổ sung).
BR-DB-08
PM, SA</t>
  </si>
  <si>
    <t>TP giữ FR06 (P2, 18 TC). Out-scope ⇒ SC-XHD-107, 108 chuyển DEPRECATED và RISK-XHD-10 → Closed.</t>
  </si>
  <si>
    <t>REQ-XHD-041</t>
  </si>
  <si>
    <t>SC-XHD-107</t>
  </si>
  <si>
    <t>Check lai BR-DB-08  của  URD v2.1</t>
  </si>
  <si>
    <t>CL-XHD-25</t>
  </si>
  <si>
    <t>Đơn bán thêm: rule áp chung, hay có điểm khác?</t>
  </si>
  <si>
    <t>Mọi BR áp chung cho đơn bán thêm? Nếu không, liệt kê điểm khác.</t>
  </si>
  <si>
    <t>GAP-60</t>
  </si>
  <si>
    <t>DOC-v2.0-04 mail PM · dòng 3 ↔ DOC-v2.0-01 (toàn bộ BR — không có từ "bán thêm")</t>
  </si>
  <si>
    <t>- Bán mới, Bán thêm =&gt; ok</t>
  </si>
  <si>
    <t>Ảnh hưởng ≥7 chức năng (XHD F01, F04, F06; GN F17; HK F19, F23; F27). Điểm có thể khác: PĐK (CL-XHD-07), cọc (CL-GN-07), ký hiệu HĐ (CL-HK-01), tiền trả trước (CL-HK-07).</t>
  </si>
  <si>
    <t>REQ-XHD-040</t>
  </si>
  <si>
    <t>SC-XHD-106</t>
  </si>
  <si>
    <t xml:space="preserve">áp đụng cho bán mới và bán thêm </t>
  </si>
  <si>
    <t>CL-XHD-26</t>
  </si>
  <si>
    <t>Ma trận kênh × nhóm DV × loại đơn thực bán</t>
  </si>
  <si>
    <t>Gửi ma trận kênh × nhóm DV × {bán mới, bán thêm} thực bán; cặp nào không bán thì bỏ khỏi phạm vi test.</t>
  </si>
  <si>
    <t>GAP-62</t>
  </si>
  <si>
    <t>DOC-v2.0-01 §A.2 (L80) + §A.3 (L139) + BR-XHD-12 (L435)</t>
  </si>
  <si>
    <t>Tất cả kênh bán trong danh sách dưới đây thuộc phạm vi. Phase 1 đã triển khai Shopee và Tiktok.
(...)
Chi nhánh nào được bán sản phẩm dịch vụ nào do bên quản lý sản phẩm bổ sung thuộc tính, nằm ngoài URD này.</t>
  </si>
  <si>
    <t>SC-XHD-001..017 giả định mọi kênh bán mọi nhóm. Mỗi cặp không bán bớt 2 TC (TP §2.3).</t>
  </si>
  <si>
    <t>REQ-XHD-001, REQ-XHD-002</t>
  </si>
  <si>
    <t xml:space="preserve">phần này chờ trao đổi lại nha </t>
  </si>
  <si>
    <t>CL-XHD-27</t>
  </si>
  <si>
    <t>Danh mục HT triển khai (DOC-v2.0-05): map sang 3 nguồn tín hiệu; TB "Không" phát hành thế nào?</t>
  </si>
  <si>
    <t>(1) TB "Không" xuất HĐ theo đường nào? (2) Đơn mix: tín hiệu mang phương thức nào? (3) File này có phải danh mục chính thức của v2.0 không?</t>
  </si>
  <si>
    <t>DOC-v2.0-05 sheet "1. HT Triển khai" · STT 1, 8 ↔ DOC-v2.0-01 BR-DB-02 (L349)</t>
  </si>
  <si>
    <t>[DOC-v2.0-05 — STT 8 — cột D]
    - Phiếu thi công: triển khai bởi TINPNC nếu hàng hóa có mix HT "Không" và "TIN/PNC"
    - None: không đẩy triển khai, giao hàng nếu hàng hóa, dịch vụ trên đơn hàng chỉ có "Không"
[DOC-v2.0-05 — STT 1 — cột G]
    Đơn hàng có ít nhất 1 SPDV có mix HT Triển khai TIN/PNC và Quầy/ Sales --&gt; auto xử lý theo luồng triển khai TINPNC
[URD 2.2 BR-DB-02 — L349]
    Tín hiệu đi thẳng về INVOICE từ 3 nguồn độc lập: phiếu thi công (tình trạng "Đã xử lý hoàn tất"), Vendor (khi đối tác giao xong), phiếu giao tại quầy.</t>
  </si>
  <si>
    <t>File bổ sung có 8 hình thức, URD chỉ nói 3 nguồn. (1) TB DeployType "Không" ⇒ không có phiếu ⇒ không có tín hiệu ⇒ theo BR-XHD-03 không bao giờ phát hành. (2) Đơn mix TIN/PNC + Quầy gộp sang TINPNC ⇒ phương thức trong khóa (BR-DB-07, BR-XHD-08) là gì. (3) File chưa có version/ngày, chưa rõ là tài liệu chính thức hay tham khảo.</t>
  </si>
  <si>
    <t>REQ-XHD-004, REQ-XHD-043</t>
  </si>
  <si>
    <t>SC-XHD-109</t>
  </si>
  <si>
    <t>Thiết bị/dv không có triển khai thì vẫn được xuất hóa đơn khi đơn hàng hoàn tất , đơn hàng mic đành cho 1 đơn hàng có hình thức Phiếu thi công:</t>
  </si>
  <si>
    <t>CL-XHD-28</t>
  </si>
  <si>
    <t>Ảnh màn Hệ thống Thông tin (DOC-v2.0-FIG-01 (ảnh: Chi tiết hóa đơn.png), FIG-02 (ảnh: Danh sách hóa đơn của Hợp đồng.png)) vẫn hiện "Từ ngày / Đến ngày" — 2 màn này dùng để verify?</t>
  </si>
  <si>
    <t>Hai màn này có phải điểm verify HĐ v2.0 không (QC có quyền truy cập STG)? Với HĐ v2.0, ô From/To và dòng "Khoản" hiển thị gì; cột "CN" là chi nhánh xuất HĐ của BR-XHD-12?</t>
  </si>
  <si>
    <t>Minor (QC đề xuất)</t>
  </si>
  <si>
    <t>DOC-v2.0-FIG-01 (ảnh: Chi tiết hóa đơn.png) màn "CHI TIẾT CỦA HÓA ĐƠN U25SG00002918" · ô "Cước phí từ ngày (From)" / "Đến ngày (To)" · dòng Chi tiết #1 ↔ DOC-v2.0-01 BR-XHD-13 (L441)</t>
  </si>
  <si>
    <t>[Ảnh màn hình hiện hữu — DOC-v2.0-FIG-01 (ảnh: Chi tiết hóa đơn.png)]
    Cước phí từ ngày (From) 17/11/2025 · Đến ngày (To) 16/12/2025
    Khoan thu tu 17/11/2025 den 16/12/2025
[URD 2.2 — L441]
    Nội dung hiển thị trên hóa đơn là tên dịch vụ + số tháng sử dụng (lấy từ SPF), không hiển thị kỳ hạn từ ngày – đến ngày.</t>
  </si>
  <si>
    <t>Hai ảnh là cùng HĐ U25SG00002918 năm 2025 (trước Phase 2) trên "Hệ thống Thông tin": FIG-01 (ảnh: Chi tiết hóa đơn.png) tab "Chi tiết của Hóa đơn", FIG-02 (ảnh: Danh sách hóa đơn của Hợp đồng.png) tab "Báo cáo tổng hợp" → "Liệt kê cước của thuê bao" (cột Hóa đơn, Ngày Phát Hành, CN, Loại hóa đơn, Số tiền, Đã TT, Gen hóa đơn…). Nhiều khả năng đây là điểm verify BillNumber / BillDate / chi nhánh / Payment của QC — nhưng chưa ai xác nhận. Nếu dùng để verify HĐ v2.0 thì cần biết ô From/To sẽ hiển thị gì.</t>
  </si>
  <si>
    <t>REQ-XHD-036</t>
  </si>
  <si>
    <t xml:space="preserve">Check số tháng , thông tin khách hàng  , số tiền, tình trạng thanh toán, thông tin dịch vụ . Fromdate, todate trên đầu hóa đơn lấy nào cũng được miễn là fromdate-todate có trong detail , Khoản hiển thị " Khoản thu từ fromdate đén todate. CN hiển thị CN của HD 
Nội dung hiển thị trên hóa đơn là tên dịch vụ HIERN THỊ TRONG THÔNG TIN CHI TIẾT LOẠI DỊCH VỤ, SỐ THÁNG MÀ TÍNH RA KỲ HẠN </t>
  </si>
  <si>
    <t>CL-XHD-29</t>
  </si>
  <si>
    <t>Tài liệu tích hợp: payload Kafka, schema bảng, API, enum</t>
  </si>
  <si>
    <t>Gửi SDD / API spec / schema các bảng OB_OrderRaw*, OB_OrderBill*, Paid, Payment, cọc + enum trạng thái; điền owner + ngày chốt cho §C.</t>
  </si>
  <si>
    <t>GAP-07, GAP-09</t>
  </si>
  <si>
    <t>DOC-v2.0-01 §D · L653</t>
  </si>
  <si>
    <t>Các nội dung dưới đây không cần PO confirm và không còn nằm trong phần chính. Chi tiết xem URD v2.1.</t>
  </si>
  <si>
    <t>Ảnh hưởng cả GN (Kafka Out, API kênh thanh toán, API EVC, enum paymentstatus) và HK (API HĐĐT, Dịch vụ). §C của 2.2 không có owner / ngày chốt (GAP-09).</t>
  </si>
  <si>
    <t>REQ-XHD-011, REQ-XHD-037</t>
  </si>
  <si>
    <t>SC-XHD-040</t>
  </si>
  <si>
    <t xml:space="preserve">Chờ hỏi lại BA </t>
  </si>
  <si>
    <t>CL-XHD-30</t>
  </si>
  <si>
    <t>Đơn ngoài 17 kênh / dịch vụ ngoài danh sách (ServiceID 2, 22) đi vào INVOICE thì xử lý thế nào?</t>
  </si>
  <si>
    <t>Đơn có SaleChannelID / ServiceID ngoài danh sách thì INVOICE bỏ qua (không xuất) hay vẫn xuất?</t>
  </si>
  <si>
    <t>DOC-v2.0-01 §A.3 · L260</t>
  </si>
  <si>
    <t>Không có trong danh sách phạm vi: ServiceID 2 (SubServiceType 5 đến 9) vì không có trong bảng nhóm dịch vụ; ServiceID 22 (GSafe) vì chưa có dịch vụ nào.</t>
  </si>
  <si>
    <t>URD chỉ nói "không thuộc phạm vi", không nói hệ thống bỏ qua, log hay vẫn xuất. TP ghi ServiceID 2, 22 ngoài phạm vi test ⇒ chưa sinh SC; hỏi để biết có cần negative test chặn không.</t>
  </si>
  <si>
    <t>REQ-XHD-002</t>
  </si>
  <si>
    <t xml:space="preserve">BỎ QUA KHÔNG TEST </t>
  </si>
  <si>
    <t>CL-XHD-31</t>
  </si>
  <si>
    <t>URD v1.0 (Phase 1) và các "điều chỉnh v2.0" của Shopee / Tiktok</t>
  </si>
  <si>
    <t>Gửi URD v1.0 + liệt kê hành vi Phase 1 của Shopee/Tiktok giữ / đổi ở v2.0.</t>
  </si>
  <si>
    <t>GAP-24</t>
  </si>
  <si>
    <t>DOC-v2.0-01 §A.4 #2 (L269-270) + §A.2 (L133, L137)</t>
  </si>
  <si>
    <t>URD v1.0
v1.0 (nền tảng, rule kênh TMĐT).
(...)
Đã triển khai ver1.0Có điều chinh ver2.0</t>
  </si>
  <si>
    <t>Không có URD v1.0 ⇒ hồi quy TMĐT (SC-XHD-016, 017, 029, 060) theo giả định.</t>
  </si>
  <si>
    <t>REQ-XHD-005, REQ-XHD-020</t>
  </si>
  <si>
    <t xml:space="preserve">VẪN TEST NHA </t>
  </si>
  <si>
    <t>CL-XHD-32</t>
  </si>
  <si>
    <t>Dòng cuối tháng chuyển sang tháng sau: đợt nào phát hành, BillDate ngày nào?</t>
  </si>
  <si>
    <t>Dòng đủ điều kiện sau giờ chốt cuối ngày cuối tháng được phát hành ở đợt nào của tháng sau (đợt 1 ngày 1? realtime đầu ngày?), BillDate là ngày nào, và cơ chế nào đưa dòng này vào phạm vi quét khi mốc nghiệp vụ thuộc ngày trước?</t>
  </si>
  <si>
    <t>Critical (QC đề xuất)</t>
  </si>
  <si>
    <t>Mới (phát sinh vòng 1)</t>
  </si>
  <si>
    <t>DOC-v2.0-01 BR-XHD-01 (L384) ↔ BR-XHD-01 (L385)</t>
  </si>
  <si>
    <t>[BR-XHD-01 — phạm vi quét của worker — L384]
    Mỗi đợt quét các dòng chưa xuất hóa đơn có mốc nghiệp vụ trong ngày, trước giờ chốt của đợt.
[BR-XHD-01 — dòng cuối tháng — L385]
    Đơn đủ điều kiện sau giờ chốt cuối của ngày cuối tháng sẽ phát hành sang tháng sau, ảnh hưởng kỳ ghi nhận doanh thu.</t>
  </si>
  <si>
    <t>Dòng này có mốc nghiệp vụ ngày cuối tháng. Sang ngày 1 tháng sau, worker chỉ quét dòng có mốc trong ngày ⇒ theo chữ L384 thì không đợt nào lấy dòng này — cùng khoảng trống với RISK-XHD-03 (bản tin trễ qua ngày). SC-XHD-046 chỉ kiểm được "không phát hành trong tháng".</t>
  </si>
  <si>
    <t>REQ-XHD-015, REQ-XHD-016</t>
  </si>
  <si>
    <t>SC-XHD-046</t>
  </si>
  <si>
    <t xml:space="preserve">NGÀY 1, CẦN pm confirm lại, BillDate lấy ngày phát hành </t>
  </si>
  <si>
    <t>CL-XHD-33</t>
  </si>
  <si>
    <t>Phụ lục D của URD 2.2 trỏ chi tiết sang tài liệu không còn sử dụng — chưa có đặc tả</t>
  </si>
  <si>
    <t>URD 2.2 Phụ lục D ghi "Chi tiết xem URD v2.1" nhưng tài liệu này không còn được sử dụng. PO / SA cung cấp tài liệu thay thế cho các mục D#1–D#3 (cutover, chống phát hành trùng, bản tin trễ + mail cảnh báo), hoặc xác nhận mục nào ngoài phạm vi test v2.0? Đồng thời định nghĩa "mốc nghiệp vụ" của dòng DV và dòng TB (thời điểm thanh toán / thời điểm giao hàng?).</t>
  </si>
  <si>
    <t>DOC-v2.0-01 §D · L653 + §D#1–#3 (L658-669)</t>
  </si>
  <si>
    <t>Từ 16/10/2026 QC owner xác nhận URD 2.1 đã out, không dùng ⇒ các mục sau chưa có đặc tả: (1) D#1 cutover — cơ chế kiểm tra chéo luồng cũ / mới (SC-XHD-107, 108 đã deprecated; CL-XHD-24); (2) D#2 phương án chống phát hành trùng worker ↔ realtime (CL-XHD-23); (3) D#3 bản tin trễ qua ngày + mail cảnh báo (CL-XHD-22); (4) định nghĩa "mốc nghiệp vụ" của dòng DV / TB — BR-XHD-01 L384 và BR-XHD-02 L393 dùng nhưng 2.2 không định nghĩa. Phần GN (D#4) ở CL-GN-10; HK (D#5, D#6) ở CL-HK-10.</t>
  </si>
  <si>
    <t>REQ-XHD-041, REQ-XHD-042</t>
  </si>
  <si>
    <t xml:space="preserve">Vẫn sử dụng nếu phần này tôi hỏi PM và PM yefu cầu test </t>
  </si>
  <si>
    <t>CL-GN-01</t>
  </si>
  <si>
    <t>GN</t>
  </si>
  <si>
    <t>Paid voucher có bị loại khỏi gạch nợ của INVOICE không?</t>
  </si>
  <si>
    <t>Khi gạch nợ nhánh Paid, INVOICE dùng (a) chỉ Paid tiền khách hay (b) cả Paid voucher? Nếu (b): voucher nhóm nào (Payment Hub?) và đội EVC có bỏ qua khoản đó không?</t>
  </si>
  <si>
    <t>GAP-40</t>
  </si>
  <si>
    <t>DOC-v2.0-01 BR-DP-01 (L474) ↔ BR-GN-01 (L508) ↔ BR-VC (L545)</t>
  </si>
  <si>
    <t>[BR-DP-01 — đồng bộ cả voucher — L474]
    Paid đồng bộ 1:1 từ Orderpaid theo OrderCode, gồm cả voucher và tiền khách thanh toán; mỗi Paid gán PaidType theo nguồn tiền.
[BR-GN-01 — không loại PaidType nào — L508]
    Chỉ lấy dòng Paid có Amount &gt; 0 và cùng OrderCode với hóa đơn.
[BR-VC — EVC do đội EVC gạch — L545]
    Phần gạch nợ bằng EVC do đội EVC thực hiện; ISC tự quyết phương thức quản trị và xử lý voucher.
[Màn hiện hữu — Payment gồm cả voucher — DOC-v2.0-FIG-01 (ảnh: Chi tiết hóa đơn.png) bảng "Liệt kê các khoản đã thanh toán"]
    1 | Cuoc K+ | U25SG00002918 | 155,000 | System1 | (17/11/2025)
    2 | Cuoc K+ | U25SG00002918 | 10,000 | phieumuahang4 | Voucher(17/11/2025)</t>
  </si>
  <si>
    <t>Đọc đúng chữ thì INVOICE dùng mọi Paid Amount &gt; 0, kể cả voucher ⇒ gạch trùng với đội EVC. Màn hiện hữu (HĐ 2025, trước Phase 2) cho thấy khoản voucher được ghi thành 1 dòng thanh toán riêng trên HĐ — không cho biết bên nào ghi. Cấu hình EVC (PaidType, Owner gạch) 2.2 chuyển D#4 — chưa có đặc tả (CL-GN-10). Mail PM "EVC cần test =&gt; theo rule URD" không trả lời điểm này. TP giả định loại Paid voucher (SC-GN-048).</t>
  </si>
  <si>
    <t>REQ-GN-001, REQ-GN-012, REQ-GN-019</t>
  </si>
  <si>
    <t>SC-GN-048</t>
  </si>
  <si>
    <t xml:space="preserve"> cả Paid voucher và với các loại voucher giảm tiền </t>
  </si>
  <si>
    <t>CL-GN-02</t>
  </si>
  <si>
    <t>Nguồn tổng tiền EVC + tiền lock; API lỗi / timeout xử lý ra sao?</t>
  </si>
  <si>
    <t>Xác nhận nguồn = API đội EVC (spec?) và hành vi khi API lỗi / timeout.</t>
  </si>
  <si>
    <t>GAP-16</t>
  </si>
  <si>
    <t>DOC-v2.0-01 BR-VC (L546) + BR-GC-01 (L529)</t>
  </si>
  <si>
    <t>[URD 2.2 — L546]
    Với EVC bị lock (khách chưa ký hợp đồng), INVOICE chừa phần lock khi gạch tiền khách: số gạch = nhỏ nhất của (nợ bill trừ tiền lock) và Paid khách thanh toán.</t>
  </si>
  <si>
    <t>URD 2.2 không nói nguồn và không có hành vi lỗi. TP giả định lỗi xử lý như BR-XL-03 (dừng, không retry) — SC-GN-049.</t>
  </si>
  <si>
    <t>REQ-GN-016, REQ-GN-020</t>
  </si>
  <si>
    <t>SC-GN-049</t>
  </si>
  <si>
    <t xml:space="preserve">thực tế đội dự án retry thủ công, staging không test case timeout, API lỗi thì là bug  </t>
  </si>
  <si>
    <t>CL-GN-03</t>
  </si>
  <si>
    <t>"Kênh sàn" gồm những SaleChannelID nào?</t>
  </si>
  <si>
    <t>Kênh sàn (được gạch nợ tạm) = chỉ Shopee (20) + Tiktok (21)? Có kênh nào khác?</t>
  </si>
  <si>
    <t>DOC-v2.0-01 BR-NT-01 (L493) ↔ §A.2 (L79-137)</t>
  </si>
  <si>
    <t>[URD 2.2 — L493]
    Chỉ gạch nợ tạm khi Paid ở trạng thái gạch nợ tạm và đơn thuộc kênh bán qua sàn (khách thanh toán với sàn nên tiền chưa chắc về công ty).</t>
  </si>
  <si>
    <t>§A.2 không có cột đánh dấu kênh sàn. Momo (17), MBBank (12), TGDD (14), API (7) cũng là kênh khách thanh toán qua bên thứ ba — không rõ có tính là sàn. Giả định {20, 21} theo URD 2.2 §A.1 L59 ("kênh TMĐT (Shopee, TikTok Shop)").</t>
  </si>
  <si>
    <t>REQ-GN-005, REQ-GN-009</t>
  </si>
  <si>
    <t>Chỉ shoppe và TikTok Shop</t>
  </si>
  <si>
    <t>CL-GN-04</t>
  </si>
  <si>
    <t>Enum paymentstatus và mã "phương thức thanh toán đặc biệt"</t>
  </si>
  <si>
    <t>Liệt kê enum paymentstatus và mã phương thức thanh toán đặc biệt dùng cho gạch nợ tạm.</t>
  </si>
  <si>
    <t>GAP-07</t>
  </si>
  <si>
    <t>DOC-v2.0-01 §A.5 #6 (L300) + BR-NT-02 (L498)</t>
  </si>
  <si>
    <t>Trường paymentstatus quyết định gạch nợ tạm hay gạch nợ thật.
(...)
Ghi Payment bằng phương thức thanh toán đặc biệt, số tiền bằng toàn bộ nợ còn lại.</t>
  </si>
  <si>
    <t>Cần giá trị cụ thể để dựng dữ liệu SC-GN-011..013, 019 và phân biệt Payment tạm với Payment thật khi verify gỡ tạm. Có trạng thái nào khác "tạm" / "hoàn tất" (vd hủy, hoàn tiền) không?</t>
  </si>
  <si>
    <t>REQ-GN-005, REQ-GN-010, REQ-GN-011</t>
  </si>
  <si>
    <t>CL-GN-05</t>
  </si>
  <si>
    <t>"Mỗi bill chỉ gạch một lần" vs gạch từng phần — bill gạch thiếu có được gạch tiếp khi có Paid mới?</t>
  </si>
  <si>
    <t>Bill đã gạch một phần, khi Paid mới về (đợt thanh toán sau) có được gạch tiếp không?</t>
  </si>
  <si>
    <t>DOC-v2.0-01 BR-GN-01 (L509) ↔ BR-GN-04 (L518-519)</t>
  </si>
  <si>
    <t>[BR-GN-01 — L509]
    Chỉ gạch bill còn nợ; mỗi bill chỉ gạch một lần.
[BR-GN-04 — L518-519]
    Mỗi lần gạch = nhỏ nhất của số dư Paid và nợ còn lại; ghi Payment, trừ Paid, đẩy Kafka Out về kênh thanh toán.
    Dừng khi hết nợ hoặc hết Paid; Paid dư được giữ lại.</t>
  </si>
  <si>
    <t>Đọc đúng chữ thì bill gạch thiếu ở SC-GN-031 sẽ không bao giờ được gạch tiếp. Suy diễn của analyst: "một lần" nghĩa là không gạch lại cùng khoản Paid, còn Paid mới vẫn gạch tiếp được — cần xác nhận.</t>
  </si>
  <si>
    <t>REQ-GN-012, REQ-GN-014</t>
  </si>
  <si>
    <t xml:space="preserve">SỐ TIỀN CẦN THANH TOÁN PHẢI BẰNG SỐ TIỀN GẠCH SAU KHI GẠCH BILL XONG HỆ THỐNG CHUYỂN SANG TRẠNG THÁI ĐÃ THANH TOÁN =&gt; KHÔNG THỂ GẠCH NỮA </t>
  </si>
  <si>
    <t>CL-GN-06</t>
  </si>
  <si>
    <t>Gỡ gạch tạm rồi Paid hoàn tất nhỏ hơn nợ: HĐ quay về "còn nợ" — có hệ quả / cảnh báo?</t>
  </si>
  <si>
    <t>Khi Paid quyết toán của sàn nhỏ hơn nợ, phần chênh xử lý thế nào (Paid phí TMĐT? để còn nợ?)</t>
  </si>
  <si>
    <t>DOC-v2.0-01 BR-NT-04 · L503</t>
  </si>
  <si>
    <t>Khi Paid chuyển sang thanh toán hoàn tất, nếu hóa đơn đã gạch nợ tạm thì gỡ Payment tạm trước (hóa đơn trở lại còn nợ) rồi mới gạch nợ thật.</t>
  </si>
  <si>
    <t>Sàn quyết toán có thể trừ phí ⇒ Paid hoàn tất &lt; nợ. HĐ từ "Đã gạch nợ" về "còn nợ" — downstream (hậu kỳ, báo cáo) có bị ảnh hưởng? Phí TMĐT là một PaidType — có được dùng để gạch phần chênh không?</t>
  </si>
  <si>
    <t>REQ-GN-011</t>
  </si>
  <si>
    <t>SC-GN-024</t>
  </si>
  <si>
    <t>CL-GN-07</t>
  </si>
  <si>
    <t>Danh mục loại cọc ↔ dịch vụ; đơn bán thêm dùng cọc nào?</t>
  </si>
  <si>
    <t>Danh mục loại cọc + dịch vụ dùng loại nào; đơn bán thêm có dùng chung cọc của hợp đồng không?</t>
  </si>
  <si>
    <t>DOC-v2.0-01 BR-GC-02 (L534) + BR-GC-03 (L539)</t>
  </si>
  <si>
    <t>Cọc của hợp đồng theo từng loại phải đủ cho các dịch vụ dùng loại cọc đó trên bill.
(...)
Mỗi dịch vụ trừ đúng loại cọc của nó; nhiều dịch vụ cùng loại cọc gom thành một dòng Payment.</t>
  </si>
  <si>
    <t>URD 2.2 không nói loại cọc của dịch vụ lưu ở đâu. Cần danh mục để dựng SC-GN-039..042. SubServiceType 25 "Đặt cọc thuê bao" (§A.3) có liên quan không?</t>
  </si>
  <si>
    <t>REQ-GN-017, REQ-GN-018</t>
  </si>
  <si>
    <t>SC-GN-050</t>
  </si>
  <si>
    <t xml:space="preserve">Đơn hàng bán mới bán thêm đều có cọc, sau khi thanh toán xong khoản thu chuyển sang đã thanh toán xong đảy thông tin qua đặt cọc 
Đặt cọc có nhiểu loại khác nhau như Đặt cọc trừ đân, đặt cọc hợp đồng , đặt cọc thiết bị </t>
  </si>
  <si>
    <t>CL-GN-08</t>
  </si>
  <si>
    <t>Nhánh Paid: thứ tự giữa đội EVC gạch EVC và INVOICE gạch tiền khách?</t>
  </si>
  <si>
    <t>Ở nhánh Paid, INVOICE có phải chờ đội EVC gạch phần EVC (không lock) xong mới gạch tiền khách không? Nếu không, INVOICE có chừa phần EVC không lock không?</t>
  </si>
  <si>
    <t>DOC-v2.0-01 BR-VC (L545-546)</t>
  </si>
  <si>
    <t>[URD 2.2 — L545-546]
    Phần gạch nợ bằng EVC do đội EVC thực hiện; ISC tự quyết phương thức quản trị và xử lý voucher.
    Với EVC bị lock (khách chưa ký hợp đồng), INVOICE chừa phần lock khi gạch tiền khách</t>
  </si>
  <si>
    <t>2.2 không giữ câu "gạch EVC trước". Nếu INVOICE gạch tiền khách trước khi đội EVC gạch (EVC không lock) ⇒ tiền khách cover luôn phần EVC, Paid khách bị dùng thừa, đội EVC không còn nợ để gạch. Chỉ phần lock được chừa ra theo 2.2.</t>
  </si>
  <si>
    <t>REQ-GN-019</t>
  </si>
  <si>
    <t>CL-GN-09</t>
  </si>
  <si>
    <t>Hai bill bằng tiền nhau: thứ tự gạch?</t>
  </si>
  <si>
    <t>Bill bằng tiền thì ưu tiên theo BillDate / BillNumber?</t>
  </si>
  <si>
    <t>Low</t>
  </si>
  <si>
    <t>DOC-v2.0-01 BR-GN-03 · L513</t>
  </si>
  <si>
    <t>Một đơn có 1..n bill; gạch từng bill, theo số tiền từ cao xuống thấp.</t>
  </si>
  <si>
    <t>Chỉ ảnh hưởng khi Paid / cọc không đủ cho cả 2 bill. SC-GN-030 để P3.</t>
  </si>
  <si>
    <t>REQ-GN-013</t>
  </si>
  <si>
    <t>SC-GN-030</t>
  </si>
  <si>
    <t>1 ĐƠN CÓ NHIỂU BILL THÌ ƯU TIÊN GẠCH NỢ HÓA ĐƠN CÓ SỐ HIỂN CAO NHẤT THEO BillNumber</t>
  </si>
  <si>
    <t>CL-GN-10</t>
  </si>
  <si>
    <t>Chi tiết gạch nợ URD 2.2 chuyển sang Phụ lục D#4 — chưa có đặc tả</t>
  </si>
  <si>
    <t>Phụ lục D#4 của URD 2.2 chưa có đặc tả. PO / đội EVC cung cấp: (1) danh mục PaidType và mã voucher; (2) nguồn / API lấy tổng EVC và tiền lock, loại EVC nào có lock; (3) bảng / trường lưu tồn cọc và loại cọc của từng dịch vụ?</t>
  </si>
  <si>
    <t>DOC-v2.0-01 §D#4 · L671-673</t>
  </si>
  <si>
    <t>Cấu hình EVC: PaidType, Owner gạch, trần 50%, EVC bị lock chi tiết.
BR-VC-01 đến 07, BR-GC-04 đến 07
Đội EVC thực hiện; một số bước đã đánh dấu bỏ.</t>
  </si>
  <si>
    <t>Phụ lục D của URD 2.2 trỏ chi tiết về tài liệu không còn sử dụng ⇒ chưa có: danh mục PaidType; nguồn tổng EVC + tiền lock và loại EVC nào có lock (CL-GN-02); bảng tồn cọc và nơi ghi loại cọc của dịch vụ (CL-GN-07); nghĩa của "mỗi bill chỉ gạch một lần" (CL-GN-05); thứ tự đội EVC gạch (CL-GN-08). Phần URD 2.2 tự đủ, vẫn dùng: cọc theo hợp đồng (L529, L534), mỗi dịch vụ trừ đúng loại cọc, gom dòng Payment theo loại cọc (L539).</t>
  </si>
  <si>
    <t>CL-HK-01</t>
  </si>
  <si>
    <t>HK</t>
  </si>
  <si>
    <t>Ký hiệu HĐĐT bản chốt + bảng map; loại HĐ nào dùng đầu M / U / A (kể cả bán thêm)?</t>
  </si>
  <si>
    <t>Gửi bản chốt ký hiệu + bảng map vùng × đầu; liệt kê loại HĐ (cước, bán mới, bán thêm, thiết bị…) dùng đầu nào.</t>
  </si>
  <si>
    <t>GAP-17</t>
  </si>
  <si>
    <t>DOC-v2.0-01 BR-HK-03 (L581, L585) + §C#1 (L640-643)</t>
  </si>
  <si>
    <t>Ký hiệu hóa đơn xác định theo quy định thuế; DVKH HO chốt với FAF.
(...)
Giữ nguyên, cần chốt ký hiệu (gộp BR-HK-04, 10)
[§C#1 — L641-643]
    Ký hiệu hóa đơn điện tử.
    BR-HK-03
    Chốt theo quy định thuế; bảng map chuyển sang phụ lục.</t>
  </si>
  <si>
    <t>SC-HK-008, 011, 020 chờ bảng chốt; SC-HK-009, 010 deprecated 16/10/2026. Chưa có bảng loại HĐ → loại đầu.</t>
  </si>
  <si>
    <t>REQ-HK-005</t>
  </si>
  <si>
    <t>SC-HK-008, SC-HK-009, SC-HK-020</t>
  </si>
  <si>
    <t>CL-HK-02</t>
  </si>
  <si>
    <t>Đơn vị có đầu số / dãy số / mẫu riêng: trong hay ngoài phạm vi test?</t>
  </si>
  <si>
    <t>Đơn vị có đầu số riêng có thuộc phạm vi v2.0 không; nếu có thì danh sách + quy tắc.</t>
  </si>
  <si>
    <t>GAP-34</t>
  </si>
  <si>
    <t>DOC-v2.0-01 BR-HK-03 (L583) + §D#5 (L674-677)</t>
  </si>
  <si>
    <t>Bảng map vùng miền và các đơn vị có đầu số riêng xem tài liệu kỹ thuật.
(...)
Bảng map ký hiệu hóa đơn theo vùng miền; đơn vị có đầu số, dãy số, mẫu riêng.
BR-HK-03, 04, 10
DVKH HO chốt với FAF.</t>
  </si>
  <si>
    <t>URD 2.2 chỉ nêu "đơn vị có đầu số, dãy số, mẫu riêng" ở D#5, không liệt kê đơn vị nào (CL-HK-10).</t>
  </si>
  <si>
    <t>SC-HK-009</t>
  </si>
  <si>
    <t xml:space="preserve">Check BR-HK-03, 04, 10  URD v2.1 giúp mình nha </t>
  </si>
  <si>
    <t>CL-HK-03</t>
  </si>
  <si>
    <t>Dòng EVC và dòng chiết khấu trên HĐĐT: Out-scope hay có đặc tả?</t>
  </si>
  <si>
    <t>Dòng EVC / chiết khấu trên HĐĐT có trong phạm vi test v2.0? Nếu có: loại EVC nào được thể hiện, format dòng.</t>
  </si>
  <si>
    <t>GAP-04</t>
  </si>
  <si>
    <t>DOC-v2.0-01 BR-HK-02 (L575) + §D#6 (L678-681)</t>
  </si>
  <si>
    <t>INVOICE chuẩn bị đầy đủ các thông tin cần để tạo hóa đơn điện tử (ký hiệu, ID hóa đơn, nội dung hiển thị, dòng EVC, tổng tiền theo thuế suất, thông tin theo mẫu) rồi mới đẩy sang hệ thống HĐĐT.</t>
  </si>
  <si>
    <t>BR-HK-02 bắt buộc có "dòng EVC" trước khi đẩy, nhưng không có rule. Mail PM "EVC cần test =&gt; theo rule URD" không làm rõ. TP đề xuất Out-scope (rủi ro TP #7). REQ-HK-010 chưa có SC.</t>
  </si>
  <si>
    <t>REQ-HK-004, REQ-HK-010</t>
  </si>
  <si>
    <t xml:space="preserve">Check theo BR-HK-06, 08 URD v2.1 giúp mình nha </t>
  </si>
  <si>
    <t>CL-HK-04</t>
  </si>
  <si>
    <t>Danh sách trường theo từng mẫu HĐĐT; mức thuế suất không phát sinh có in dòng 0?</t>
  </si>
  <si>
    <t>Gửi mẫu HĐĐT (trường bắt buộc); mức thuế không có dòng chi tiết thì có in không?</t>
  </si>
  <si>
    <t>GAP-35</t>
  </si>
  <si>
    <t>DOC-v2.0-01 §D#6 (L679) + BR-HK-07 (L592)</t>
  </si>
  <si>
    <t>Dòng chiết khấu; thông tin khác theo mẫu hóa đơn.
(...)
Gom tổng tiền theo từng mức thuế suất (không chịu thuế, 0%, 5%, 8%, 10%), mỗi mức một dòng gồm thành tiền, thuế GTGT và tổng cộng; sau đó là dòng tổng cộng chung.</t>
  </si>
  <si>
    <t>Không có mẫu ⇒ expected của SC-HK-006, 014 thiếu trường.</t>
  </si>
  <si>
    <t>SC-HK-014</t>
  </si>
  <si>
    <t xml:space="preserve">LOẠI DỊCH VỤ NÀO CŨNG CÓ VAT NÊN SẼ KHÔNG CÓ CASE KHÔNG CÓ DÒNG mức thuế không có dòng chi tiết , NÊN BẠN HÃY GIẢI THÍCH Õ th của bạn </t>
  </si>
  <si>
    <t>CL-HK-05</t>
  </si>
  <si>
    <t>Đẩy HĐĐT lỗi / chưa đủ thông tin: khi nào đẩy lại? Có đánh dấu / retry?</t>
  </si>
  <si>
    <t>Khi chưa đủ thông tin hoặc HĐĐT lỗi: dòng được đánh dấu gì, ai / job nào đẩy lại, có cảnh báo?</t>
  </si>
  <si>
    <t>GAP-18</t>
  </si>
  <si>
    <t>DOC-v2.0-01 BR-HK-02 · L576</t>
  </si>
  <si>
    <t>Chưa đủ thì chưa đẩy.</t>
  </si>
  <si>
    <t>Không có trigger đẩy lại, không có hành vi lỗi. TP giả định "đẩy lại lần sau" (SC-HK-007, 018).</t>
  </si>
  <si>
    <t>REQ-HK-001, REQ-HK-004</t>
  </si>
  <si>
    <t>SC-HK-007, SC-HK-018</t>
  </si>
  <si>
    <t>chờ hoit lại BA</t>
  </si>
  <si>
    <t>CL-HK-06</t>
  </si>
  <si>
    <t>Đẩy hệ thống Dịch vụ (tiền trả trước) lỗi: đánh dấu / retry?</t>
  </si>
  <si>
    <t>Lỗi thì đánh dấu gì, retry thế nào, bảo đảm vẫn chỉ add 1 lần ra sao?</t>
  </si>
  <si>
    <t>GAP-20</t>
  </si>
  <si>
    <t>DOC-v2.0-01 §III.a · L561</t>
  </si>
  <si>
    <t>Thông tin dịch vụ và tiền dịch vụ được đẩy đúng theo từng đơn hàng cấu thành hóa đơn; đã add tiền trả trước cho khách.</t>
  </si>
  <si>
    <t>Ảnh hưởng tính idempotent của BR-HK-09: lỗi rồi đẩy lại có bị tính là "đã add" không (SC-HK-019).</t>
  </si>
  <si>
    <t>REQ-HK-001, REQ-HK-009</t>
  </si>
  <si>
    <t>SC-HK-019</t>
  </si>
  <si>
    <t xml:space="preserve">trong thực tế nếu lỗi hệ thống sẽ ghi log và sẽ thực hiển retry thủ công còn trong môi truờng staging chỗ này QC không sẽ không check log </t>
  </si>
  <si>
    <t>CL-HK-07</t>
  </si>
  <si>
    <t>Add tiền trả trước 1 lần / đơn nhiều đợt: đợt nào, số tiền nào, TB có add?</t>
  </si>
  <si>
    <t>Tiền trả trước add ở HĐ nào, số tiền = tiền DV của HĐ đó hay của cả đơn; TB có add không; đơn bán thêm có khác không?</t>
  </si>
  <si>
    <t>GAP-59, GAP-60</t>
  </si>
  <si>
    <t>DOC-v2.0-01 BR-HK-09 (L596)</t>
  </si>
  <si>
    <t>[URD 2.2 — L596]
    Mỗi đơn chỉ add tiền trả trước một lần, kể cả khi đơn phát hành ở nhiều đợt hóa đơn.</t>
  </si>
  <si>
    <t>"Mỗi đơn một lần" (per đơn), nhưng nếu DV phát hành ở 2 HĐ khác đợt thì DV thứ 2 có được add không? TP giả định: đợt đầu, toàn bộ tiền DV. Đơn bán thêm có add tiền trả trước như bán mới?</t>
  </si>
  <si>
    <t>REQ-HK-009</t>
  </si>
  <si>
    <t>SC-HK-021</t>
  </si>
  <si>
    <t xml:space="preserve">KHI Hd mua dịch vụ trả truớc HD đó sẽ được add tiền trước = số tiền của gói dịch vụ trả trước khách hàng đã đăng ký </t>
  </si>
  <si>
    <t>CL-HK-08</t>
  </si>
  <si>
    <t>Mã tỉnh trong ID HĐ lấy theo đâu?</t>
  </si>
  <si>
    <t>Mã tỉnh (và vùng) lấy từ địa chỉ nào: địa chỉ xuất HĐ / địa chỉ hợp đồng / tỉnh của chi nhánh?</t>
  </si>
  <si>
    <t>DOC-v2.0-01 BR-HK-03 (L582)</t>
  </si>
  <si>
    <t>[URD 2.2 — L582]
    ID hóa đơn ghép từ loại đầu + năm + mã tỉnh + số hóa đơn.</t>
  </si>
  <si>
    <t>Không nói tỉnh của địa chỉ xuất HĐ, của hợp đồng, hay của chi nhánh quản lý hợp đồng (nay chi nhánh theo hợp đồng — BR-XHD-12 2.2). Vùng (để tra ký hiệu) cũng suy ra từ tỉnh nào?</t>
  </si>
  <si>
    <t>REQ-HK-006</t>
  </si>
  <si>
    <t>SC-HK-011</t>
  </si>
  <si>
    <t xml:space="preserve">Mã tỉnh lấy theo địa chỉ hợp đồng =&gt; QC tự bk mã và check </t>
  </si>
  <si>
    <t>CL-HK-09</t>
  </si>
  <si>
    <t>Một HĐ có thể gồm nhiều đơn hàng không? ("tách theo từng đơn hàng cấu thành hóa đơn")</t>
  </si>
  <si>
    <t>Có trường hợp 1 HĐ gồm nhiều đơn ở v2.0 không? Nếu không, câu "tách theo từng đơn" chỉ áp cho HĐ luồng cũ?</t>
  </si>
  <si>
    <t>DOC-v2.0-01 BR-HK-01 (L571) ↔ BR-XHD-05 (L406)</t>
  </si>
  <si>
    <t>[BR-HK-01 — L571]
    Mỗi lần phát hành chỉ đẩy phần vừa xuất, tách theo từng đơn hàng cấu thành hóa đơn.
[BR-XHD-05 — L406]
    Trong cùng một đợt, các dòng DV/TB đủ điều kiện của cùng một đơn gộp vào một hóa đơn.</t>
  </si>
  <si>
    <t>XHD gộp theo đơn ⇒ 1 HĐ chỉ 1 đơn; HK lại nói "từng đơn hàng cấu thành hóa đơn". SC-HK-005 phụ thuộc câu trả lời.</t>
  </si>
  <si>
    <t>REQ-HK-003</t>
  </si>
  <si>
    <t>SC-HK-005</t>
  </si>
  <si>
    <t xml:space="preserve">1 hd có thể có nhiều hóa đơn, do 1 hd có thể có nhiểu đơn hàng </t>
  </si>
  <si>
    <t>CL-HK-10</t>
  </si>
  <si>
    <t>Ký hiệu, ID HĐĐT, đơn vị đầu số riêng: URD 2.2 chuyển sang Phụ lục D#5, D#6 — chưa có đặc tả</t>
  </si>
  <si>
    <t>Ngoài bảng map ký hiệu (CL-HK-01), cho QC định dạng ID HĐĐT: "năm" ghi 2 hay 4 chữ số, mã tỉnh theo danh mục nào, số HĐ có trùng số hóa đơn của Billing không; và danh sách đơn vị có đầu số / dãy số / mẫu riêng.</t>
  </si>
  <si>
    <t>DOC-v2.0-01 §D#5–#6 · L675-679</t>
  </si>
  <si>
    <t>Bảng map ký hiệu hóa đơn theo vùng miền; đơn vị có đầu số, dãy số, mẫu riêng.
BR-HK-03, 04, 10
DVKH HO chốt với FAF.
(...)
Dòng chiết khấu; thông tin khác theo mẫu hóa đơn.</t>
  </si>
  <si>
    <t>Chưa có bảng map vùng × loại đầu, map loại HĐ → loại đầu, định dạng ID, quy ước mã tỉnh. SC-HK-009, 010 deprecated; SC-HK-008, 011, 020 chờ. Có thể trả lời chung với CL-HK-01 (BLOCKING) khi PO gửi bảng chốt.</t>
  </si>
  <si>
    <t>SC-HK-008, SC-HK-009, SC-HK-011</t>
  </si>
  <si>
    <t>theo BR-HK-03, 04, 10  tài liệu cũ do chỗ này DVKH HO chốt với FAF.</t>
  </si>
  <si>
    <t>CÂU ĐÃ CHỐT SAU VÒNG 1 (16/10/2026) — để PO / BA xác nhận lại nếu không đồng ý</t>
  </si>
  <si>
    <t>Nội dung</t>
  </si>
  <si>
    <t>Kết luận đã cập nhật vào analyze</t>
  </si>
  <si>
    <t>CL-XHD-06</t>
  </si>
  <si>
    <t>Ngày cuối tháng, đủ điều kiện sau giờ chốt cuối: realtime phát hành ngay hay để sang tháng sau?</t>
  </si>
  <si>
    <t>ví dụ ngày ngày 30 cuối tháng tới 11h30 mới đủ dk phát hành hóa đơn thì sẽ phát hành sang tháng sau</t>
  </si>
  <si>
    <t>✅ RESOLVED 16/10/2026 — Ngày cuối tháng, dòng đủ điều kiện sau giờ chốt cuối ⇒ không phát hành trong tháng, phát hành sang tháng sau — đúng câu BR-XHD-01 L385. Đây là ngoại lệ của realtime "xử lý ngay khi nhận" (BR-XHD-06 L413) cho ngày cuối tháng. QC lấy ví dụ: ngày cuối tháng, tới sau giờ chốt cuối mới đủ điều kiện ⇒ HĐ thuộc tháng sau. Nguồn: QC trả lời 16/10/2026 vòng 1. Phát sinh câu hỏi mới về đợt phát hành ở tháng sau → CL-XHD-32. SC-XHD-046 đổi Then.</t>
  </si>
  <si>
    <t>CL-XHD-09</t>
  </si>
  <si>
    <t>Revision 2.2 ghi thêm "KH Chuỗi/Dự án" vào BR-XHD-03 nhưng BR không có nội dung</t>
  </si>
  <si>
    <t>KH Chuỗi không có rule phát hành riêng do tôi thấy URD không có mô tả chỗ này</t>
  </si>
  <si>
    <t>✅ RESOLVED 16/10/2026 — KH Chuỗi không có rule phát hành riêng: URD không mô tả nội dung nào. "Dự án" trong Revision History ứng với câu hợp đồng con / hợp đồng dự án đã có ở BR-XHD-03 L401. Không sinh SC. Nguồn: QC trả lời 16/10/2026 vòng 1. Nếu PO bổ sung rule cho KH Chuỗi ⇒ mở lại CL này.</t>
  </si>
  <si>
    <t>CL-XHD-10</t>
  </si>
  <si>
    <t>BR-XHD-04 (autobill TB theo phương thức) đã bỏ — bỏ hành vi hay chỉ bỏ câu chữ?</t>
  </si>
  <si>
    <t>Khi nhận tín hiệu giao hàng của một phương thức, INVOICE phát hành chỉ TB có trong tín hiệu theo như mô tả  BR-XHD-06</t>
  </si>
  <si>
    <t>✅ RESOLVED 16/10/2026 — Khi nhận tín hiệu giao hàng của một phương thức, INVOICE chỉ phát hành TB có trong tín hiệu, không phát hành toàn bộ TB của phương thức. Căn cứ: BR-XHD-06 L412; tín hiệu map vào từng TB theo khóa có SubserviceType + phương thức (BR-DB-07 L374); flow DOC-v2.0-FIG-03 (ảnh: Workflow ĐỒNG BỘ &amp; XUẤT HÓA ĐƠN TỰ ĐỘNG (v2.0).png) ghi "realtime tách theo tín hiệu". Nguồn: QC trả lời 16/10/2026 vòng 1. Thêm SC-XHD-110.</t>
  </si>
  <si>
    <t>CL-XHD-17</t>
  </si>
  <si>
    <t>Dòng không hợp lệ được bổ sung thông tin: đợt sau có phát hành?</t>
  </si>
  <si>
    <t>Theo file Invoice_Issuance_Architecture_v2_2_URD_v2_0 , file Invoice_Issuance_Architecture_v2_0_URD_v1_0 là bảng URD cũ</t>
  </si>
  <si>
    <t>✅ RESOLVED 16/10/2026 — Theo URD 2.2: dòng bị chặn chỉ còn cơ hội phát hành trong cùng ngày. Đợt worker sau quét "dòng chưa xuất hóa đơn có mốc nghiệp vụ trong ngày" (L384), và job cảnh báo 15 phút tồn tại để "bổ sung thông tin kịp trước giờ chốt" (L429). Qua ngày thì hệ thống không tự phát hành lại (L428). Nguồn: QC trả lời 16/10/2026 vòng 1. SC-XHD-096 đổi Then; thêm SC-XHD-111.</t>
  </si>
  <si>
    <t>TỔNG HỢP CÂU HỎI VÒNG 2 THEO MODULE</t>
  </si>
  <si>
    <t>Chức năng</t>
  </si>
  <si>
    <t>Câu còn mở</t>
  </si>
  <si>
    <t>Mới</t>
  </si>
  <si>
    <t>Đã chốt vòng 1</t>
  </si>
  <si>
    <t>Đồng bộ đơn hàng &amp; xuất hóa đơn tự động</t>
  </si>
  <si>
    <t>Gạch nợ hóa đơn</t>
  </si>
  <si>
    <t>Đẩy hậu kỳ – tiền trả trước</t>
  </si>
  <si>
    <t>Tổng</t>
  </si>
  <si>
    <t>Câu hỏi BLOCKING:</t>
  </si>
  <si>
    <t>Ghi chú: "Trả lời vòng 1 (QC)" là câu trả lời của QC owner, không phải xác nhận PO. Câu chỉ được đóng khi chốt được bằng chữ URD 2.2; câu QC báo "không tìm thấy trong tài liệu" chuyển PO trả lời.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</si>
</sst>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4"/>
      <color rgb="FF1F4E78"/>
      <name val="Arial"/>
    </font>
    <font>
      <i/>
      <sz val="9"/>
      <color rgb="FF595959"/>
      <name val="Arial"/>
    </font>
    <font>
      <b/>
      <sz val="10"/>
      <color rgb="FFFFFFFF"/>
      <name val="Arial"/>
    </font>
    <font>
      <sz val="9"/>
      <name val="Arial"/>
    </font>
    <font>
      <b/>
      <sz val="9"/>
      <name val="Arial"/>
    </font>
    <font>
      <b/>
      <sz val="9"/>
      <color rgb="FFC00000"/>
      <name val="Arial"/>
    </font>
    <font>
      <b/>
      <sz val="12"/>
      <color rgb="FF1F4E78"/>
      <name val="Arial"/>
    </font>
    <font>
      <b/>
      <sz val="13"/>
      <color rgb="FF1F4E78"/>
      <name val="Arial"/>
    </font>
    <font>
      <sz val="10"/>
      <name val="Arial"/>
    </font>
    <font>
      <b/>
      <sz val="11"/>
      <name val="Arial"/>
    </font>
    <font>
      <b/>
      <sz val="11"/>
      <color rgb="FFC00000"/>
      <name val="Arial"/>
    </font>
    <font>
      <b/>
      <sz val="10"/>
      <name val="Arial"/>
    </font>
    <font>
      <i/>
      <sz val="9"/>
      <name val="Arial"/>
    </font>
    <font>
      <sz val="9"/>
      <color rgb="FF000000"/>
      <name val="Arial"/>
      <charset val="1"/>
    </font>
  </fonts>
  <fills count="12">
    <fill>
      <patternFill patternType="none"/>
    </fill>
    <fill>
      <patternFill patternType="gray125"/>
    </fill>
    <fill>
      <patternFill patternType="solid">
        <fgColor rgb="FF1F4E78"/>
      </patternFill>
    </fill>
    <fill>
      <patternFill patternType="solid">
        <fgColor rgb="FFFCE4D6"/>
      </patternFill>
    </fill>
    <fill>
      <patternFill patternType="solid">
        <fgColor rgb="FFEDEDED"/>
      </patternFill>
    </fill>
    <fill>
      <patternFill patternType="solid">
        <fgColor rgb="FFFFFDE7"/>
      </patternFill>
    </fill>
    <fill>
      <patternFill patternType="solid">
        <fgColor rgb="FFDDEBF7"/>
      </patternFill>
    </fill>
    <fill>
      <patternFill patternType="solid">
        <fgColor rgb="FFFFF2CC"/>
      </patternFill>
    </fill>
    <fill>
      <patternFill patternType="solid">
        <fgColor rgb="FFF8CBAD"/>
      </patternFill>
    </fill>
    <fill>
      <patternFill patternType="solid">
        <fgColor rgb="FFE2EFDA"/>
      </patternFill>
    </fill>
    <fill>
      <patternFill patternType="solid">
        <fgColor rgb="FFE4DFEC"/>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4" fillId="10" borderId="1" xfId="0" applyFont="1" applyFill="1" applyBorder="1" applyAlignment="1">
      <alignment horizontal="center" vertical="top" wrapText="1"/>
    </xf>
    <xf numFmtId="0" fontId="7" fillId="0" borderId="0" xfId="0" applyFont="1"/>
    <xf numFmtId="0" fontId="3" fillId="2" borderId="1" xfId="0" applyFont="1" applyFill="1" applyBorder="1" applyAlignment="1">
      <alignment horizontal="center" wrapText="1"/>
    </xf>
    <xf numFmtId="0" fontId="4" fillId="0" borderId="1" xfId="0" applyFont="1" applyBorder="1" applyAlignment="1">
      <alignment vertical="top" wrapText="1"/>
    </xf>
    <xf numFmtId="0" fontId="8" fillId="0" borderId="0" xfId="0" applyFont="1"/>
    <xf numFmtId="0" fontId="9" fillId="0" borderId="1" xfId="0" applyFont="1" applyBorder="1"/>
    <xf numFmtId="0" fontId="10" fillId="11" borderId="1" xfId="0" applyFont="1" applyFill="1" applyBorder="1"/>
    <xf numFmtId="0" fontId="0" fillId="11" borderId="1" xfId="0" applyFill="1" applyBorder="1"/>
    <xf numFmtId="0" fontId="11" fillId="0" borderId="0" xfId="0" applyFont="1"/>
    <xf numFmtId="0" fontId="12" fillId="0" borderId="0" xfId="0" applyFont="1"/>
    <xf numFmtId="0" fontId="9" fillId="0" borderId="0" xfId="0" applyFont="1"/>
    <xf numFmtId="0" fontId="13" fillId="0" borderId="0" xfId="0" applyFont="1"/>
    <xf numFmtId="0" fontId="14" fillId="0" borderId="0" xfId="0" applyFont="1" applyAlignment="1">
      <alignment wrapText="1"/>
    </xf>
    <xf numFmtId="0" fontId="2" fillId="0" borderId="0" xfId="0" applyFont="1" applyAlignment="1">
      <alignment vertical="top" wrapText="1"/>
    </xf>
    <xf numFmtId="0" fontId="1" fillId="0" borderId="0" xfId="0" applyFont="1" applyAlignment="1"/>
    <xf numFmtId="0" fontId="0" fillId="0" borderId="0" xfId="0"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3"/>
  <sheetViews>
    <sheetView tabSelected="1" workbookViewId="0">
      <pane xSplit="3" ySplit="4" topLeftCell="D35" activePane="bottomRight" state="frozen"/>
      <selection pane="bottomRight" activeCell="E37" sqref="E37"/>
      <selection pane="bottomLeft"/>
      <selection pane="topRight"/>
    </sheetView>
  </sheetViews>
  <sheetFormatPr defaultRowHeight="15"/>
  <cols>
    <col min="1" max="1" width="5" customWidth="1"/>
    <col min="2" max="2" width="12" customWidth="1"/>
    <col min="3" max="3" width="8" customWidth="1"/>
    <col min="4" max="4" width="34" customWidth="1"/>
    <col min="5" max="5" width="60" customWidth="1"/>
    <col min="6" max="7" width="13" hidden="1" customWidth="1"/>
    <col min="8" max="8" width="16" hidden="1" customWidth="1"/>
    <col min="9" max="9" width="40" hidden="1" customWidth="1"/>
    <col min="10" max="10" width="55" hidden="1" customWidth="1"/>
    <col min="11" max="11" width="30" customWidth="1"/>
    <col min="12" max="12" width="55" customWidth="1"/>
    <col min="13" max="13" width="50" customWidth="1"/>
    <col min="14" max="14" width="20" hidden="1" customWidth="1"/>
    <col min="15" max="15" width="24" hidden="1" customWidth="1"/>
    <col min="16" max="16" width="11" hidden="1" customWidth="1"/>
    <col min="17" max="17" width="45" customWidth="1"/>
    <col min="18" max="18" width="14" customWidth="1"/>
    <col min="19" max="19" width="12" customWidth="1"/>
  </cols>
  <sheetData>
    <row r="1" spans="1:19">
      <c r="A1" s="26" t="s">
        <v>0</v>
      </c>
      <c r="B1" s="27"/>
      <c r="C1" s="27"/>
      <c r="D1" s="27"/>
      <c r="E1" s="27"/>
      <c r="F1" s="27"/>
      <c r="G1" s="27"/>
      <c r="H1" s="27"/>
      <c r="I1" s="27"/>
      <c r="J1" s="27"/>
      <c r="K1" s="27"/>
      <c r="L1" s="27"/>
      <c r="M1" s="27"/>
      <c r="N1" s="27"/>
      <c r="O1" s="27"/>
      <c r="P1" s="27"/>
      <c r="Q1" s="27"/>
      <c r="R1" s="27"/>
      <c r="S1" s="27"/>
    </row>
    <row r="2" spans="1:19" ht="30" customHeight="1">
      <c r="A2" s="25" t="s">
        <v>1</v>
      </c>
      <c r="B2" s="27"/>
      <c r="C2" s="27"/>
      <c r="D2" s="27"/>
      <c r="E2" s="27"/>
      <c r="F2" s="27"/>
      <c r="G2" s="27"/>
      <c r="H2" s="27"/>
      <c r="I2" s="27"/>
      <c r="J2" s="27"/>
      <c r="K2" s="27"/>
      <c r="L2" s="27"/>
      <c r="M2" s="27"/>
      <c r="N2" s="27"/>
      <c r="O2" s="27"/>
      <c r="P2" s="27"/>
      <c r="Q2" s="27"/>
      <c r="R2" s="27"/>
      <c r="S2" s="27"/>
    </row>
    <row r="4" spans="1:19" ht="32.1"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row>
    <row r="5" spans="1:19" ht="196.5" customHeight="1">
      <c r="A5" s="2">
        <v>1</v>
      </c>
      <c r="B5" s="3" t="s">
        <v>21</v>
      </c>
      <c r="C5" s="2" t="s">
        <v>22</v>
      </c>
      <c r="D5" s="3" t="s">
        <v>23</v>
      </c>
      <c r="E5" s="4" t="s">
        <v>24</v>
      </c>
      <c r="F5" s="5" t="s">
        <v>25</v>
      </c>
      <c r="G5" s="3" t="s">
        <v>26</v>
      </c>
      <c r="H5" s="6" t="s">
        <v>27</v>
      </c>
      <c r="I5" s="3" t="s">
        <v>28</v>
      </c>
      <c r="J5" s="3" t="s">
        <v>29</v>
      </c>
      <c r="K5" s="3" t="s">
        <v>30</v>
      </c>
      <c r="L5" s="3" t="s">
        <v>31</v>
      </c>
      <c r="M5" s="3" t="s">
        <v>32</v>
      </c>
      <c r="N5" s="3" t="s">
        <v>33</v>
      </c>
      <c r="O5" s="3" t="s">
        <v>34</v>
      </c>
      <c r="P5" s="2" t="s">
        <v>35</v>
      </c>
      <c r="Q5" s="7"/>
      <c r="R5" s="7"/>
      <c r="S5" s="7"/>
    </row>
    <row r="6" spans="1:19" ht="100.35" customHeight="1">
      <c r="A6" s="2">
        <v>2</v>
      </c>
      <c r="B6" s="3" t="s">
        <v>36</v>
      </c>
      <c r="C6" s="2" t="s">
        <v>22</v>
      </c>
      <c r="D6" s="3" t="s">
        <v>37</v>
      </c>
      <c r="E6" s="4" t="s">
        <v>38</v>
      </c>
      <c r="F6" s="5" t="s">
        <v>25</v>
      </c>
      <c r="G6" s="3" t="s">
        <v>39</v>
      </c>
      <c r="H6" s="8" t="s">
        <v>40</v>
      </c>
      <c r="I6" s="3" t="s">
        <v>41</v>
      </c>
      <c r="J6" s="3" t="s">
        <v>42</v>
      </c>
      <c r="K6" s="3" t="s">
        <v>43</v>
      </c>
      <c r="L6" s="3" t="s">
        <v>44</v>
      </c>
      <c r="M6" s="3" t="s">
        <v>45</v>
      </c>
      <c r="N6" s="3" t="s">
        <v>46</v>
      </c>
      <c r="O6" s="3" t="s">
        <v>47</v>
      </c>
      <c r="P6" s="2" t="s">
        <v>35</v>
      </c>
      <c r="Q6" s="7"/>
      <c r="R6" s="7"/>
      <c r="S6" s="7"/>
    </row>
    <row r="7" spans="1:19" ht="58.15" customHeight="1">
      <c r="A7" s="2">
        <v>3</v>
      </c>
      <c r="B7" s="3" t="s">
        <v>48</v>
      </c>
      <c r="C7" s="2" t="s">
        <v>22</v>
      </c>
      <c r="D7" s="3" t="s">
        <v>49</v>
      </c>
      <c r="E7" s="4" t="s">
        <v>50</v>
      </c>
      <c r="F7" s="9" t="s">
        <v>51</v>
      </c>
      <c r="G7" s="3" t="s">
        <v>52</v>
      </c>
      <c r="H7" s="6" t="s">
        <v>27</v>
      </c>
      <c r="I7" s="3" t="s">
        <v>53</v>
      </c>
      <c r="J7" s="3" t="s">
        <v>54</v>
      </c>
      <c r="K7" s="3" t="s">
        <v>55</v>
      </c>
      <c r="L7" s="3" t="s">
        <v>56</v>
      </c>
      <c r="M7" s="3" t="s">
        <v>57</v>
      </c>
      <c r="N7" s="3" t="s">
        <v>46</v>
      </c>
      <c r="O7" s="3" t="s">
        <v>58</v>
      </c>
      <c r="P7" s="2" t="s">
        <v>35</v>
      </c>
      <c r="Q7" s="7"/>
      <c r="R7" s="7"/>
      <c r="S7" s="7"/>
    </row>
    <row r="8" spans="1:19" ht="111" customHeight="1">
      <c r="A8" s="2">
        <v>4</v>
      </c>
      <c r="B8" s="3" t="s">
        <v>59</v>
      </c>
      <c r="C8" s="2" t="s">
        <v>22</v>
      </c>
      <c r="D8" s="3" t="s">
        <v>60</v>
      </c>
      <c r="E8" s="4" t="s">
        <v>61</v>
      </c>
      <c r="F8" s="9" t="s">
        <v>51</v>
      </c>
      <c r="G8" s="3" t="s">
        <v>62</v>
      </c>
      <c r="H8" s="8" t="s">
        <v>40</v>
      </c>
      <c r="I8" s="3" t="s">
        <v>63</v>
      </c>
      <c r="J8" s="3" t="s">
        <v>64</v>
      </c>
      <c r="K8" s="3" t="s">
        <v>65</v>
      </c>
      <c r="L8" s="3" t="s">
        <v>66</v>
      </c>
      <c r="M8" s="3" t="s">
        <v>67</v>
      </c>
      <c r="N8" s="3" t="s">
        <v>68</v>
      </c>
      <c r="O8" s="3" t="s">
        <v>69</v>
      </c>
      <c r="P8" s="2" t="s">
        <v>35</v>
      </c>
      <c r="Q8" s="7"/>
      <c r="R8" s="7"/>
      <c r="S8" s="7"/>
    </row>
    <row r="9" spans="1:19" ht="330.4" customHeight="1">
      <c r="A9" s="2">
        <v>5</v>
      </c>
      <c r="B9" s="3" t="s">
        <v>70</v>
      </c>
      <c r="C9" s="2" t="s">
        <v>22</v>
      </c>
      <c r="D9" s="3" t="s">
        <v>71</v>
      </c>
      <c r="E9" s="4" t="s">
        <v>72</v>
      </c>
      <c r="F9" s="5" t="s">
        <v>25</v>
      </c>
      <c r="G9" s="3" t="s">
        <v>73</v>
      </c>
      <c r="H9" s="8" t="s">
        <v>40</v>
      </c>
      <c r="I9" s="3" t="s">
        <v>74</v>
      </c>
      <c r="J9" s="3" t="s">
        <v>75</v>
      </c>
      <c r="K9" s="3" t="s">
        <v>76</v>
      </c>
      <c r="L9" s="3" t="s">
        <v>77</v>
      </c>
      <c r="M9" s="3" t="s">
        <v>78</v>
      </c>
      <c r="N9" s="3" t="s">
        <v>79</v>
      </c>
      <c r="O9" s="3" t="s">
        <v>80</v>
      </c>
      <c r="P9" s="2" t="s">
        <v>35</v>
      </c>
      <c r="Q9" s="7"/>
      <c r="R9" s="7"/>
      <c r="S9" s="7"/>
    </row>
    <row r="10" spans="1:19" ht="102.2" customHeight="1">
      <c r="A10" s="2">
        <v>6</v>
      </c>
      <c r="B10" s="3" t="s">
        <v>81</v>
      </c>
      <c r="C10" s="2" t="s">
        <v>22</v>
      </c>
      <c r="D10" s="3" t="s">
        <v>82</v>
      </c>
      <c r="E10" s="4" t="s">
        <v>83</v>
      </c>
      <c r="F10" s="5" t="s">
        <v>25</v>
      </c>
      <c r="G10" s="3" t="s">
        <v>84</v>
      </c>
      <c r="H10" s="8" t="s">
        <v>40</v>
      </c>
      <c r="I10" s="3" t="s">
        <v>85</v>
      </c>
      <c r="J10" s="3" t="s">
        <v>86</v>
      </c>
      <c r="K10" s="3" t="s">
        <v>87</v>
      </c>
      <c r="L10" s="3" t="s">
        <v>88</v>
      </c>
      <c r="M10" s="3" t="s">
        <v>89</v>
      </c>
      <c r="N10" s="3" t="s">
        <v>90</v>
      </c>
      <c r="O10" s="3" t="s">
        <v>91</v>
      </c>
      <c r="P10" s="2" t="s">
        <v>35</v>
      </c>
      <c r="Q10" s="7"/>
      <c r="R10" s="7"/>
      <c r="S10" s="7"/>
    </row>
    <row r="11" spans="1:19" ht="75.2" customHeight="1">
      <c r="A11" s="2">
        <v>7</v>
      </c>
      <c r="B11" s="3" t="s">
        <v>92</v>
      </c>
      <c r="C11" s="2" t="s">
        <v>22</v>
      </c>
      <c r="D11" s="3" t="s">
        <v>93</v>
      </c>
      <c r="E11" s="4" t="s">
        <v>94</v>
      </c>
      <c r="F11" s="9" t="s">
        <v>51</v>
      </c>
      <c r="G11" s="3" t="s">
        <v>95</v>
      </c>
      <c r="H11" s="8" t="s">
        <v>40</v>
      </c>
      <c r="I11" s="3" t="s">
        <v>96</v>
      </c>
      <c r="J11" s="3" t="s">
        <v>97</v>
      </c>
      <c r="K11" s="3" t="s">
        <v>98</v>
      </c>
      <c r="L11" s="3" t="s">
        <v>99</v>
      </c>
      <c r="M11" s="3" t="s">
        <v>100</v>
      </c>
      <c r="N11" s="3" t="s">
        <v>101</v>
      </c>
      <c r="O11" s="3" t="s">
        <v>58</v>
      </c>
      <c r="P11" s="2" t="s">
        <v>35</v>
      </c>
      <c r="Q11" s="7"/>
      <c r="R11" s="7"/>
      <c r="S11" s="7"/>
    </row>
    <row r="12" spans="1:19" ht="166.35" customHeight="1">
      <c r="A12" s="2">
        <v>8</v>
      </c>
      <c r="B12" s="3" t="s">
        <v>102</v>
      </c>
      <c r="C12" s="2" t="s">
        <v>22</v>
      </c>
      <c r="D12" s="3" t="s">
        <v>103</v>
      </c>
      <c r="E12" s="4" t="s">
        <v>104</v>
      </c>
      <c r="F12" s="5" t="s">
        <v>25</v>
      </c>
      <c r="G12" s="3" t="s">
        <v>105</v>
      </c>
      <c r="H12" s="8" t="s">
        <v>40</v>
      </c>
      <c r="I12" s="3" t="s">
        <v>106</v>
      </c>
      <c r="J12" s="3" t="s">
        <v>107</v>
      </c>
      <c r="K12" s="3" t="s">
        <v>108</v>
      </c>
      <c r="L12" s="3" t="s">
        <v>109</v>
      </c>
      <c r="M12" s="3" t="s">
        <v>110</v>
      </c>
      <c r="N12" s="3" t="s">
        <v>111</v>
      </c>
      <c r="O12" s="3" t="s">
        <v>112</v>
      </c>
      <c r="P12" s="2" t="s">
        <v>35</v>
      </c>
      <c r="Q12" s="7"/>
      <c r="R12" s="7"/>
      <c r="S12" s="7"/>
    </row>
    <row r="13" spans="1:19" ht="101.45" customHeight="1">
      <c r="A13" s="2">
        <v>9</v>
      </c>
      <c r="B13" s="3" t="s">
        <v>113</v>
      </c>
      <c r="C13" s="2" t="s">
        <v>22</v>
      </c>
      <c r="D13" s="3" t="s">
        <v>114</v>
      </c>
      <c r="E13" s="4" t="s">
        <v>115</v>
      </c>
      <c r="F13" s="9" t="s">
        <v>116</v>
      </c>
      <c r="G13" s="3" t="s">
        <v>58</v>
      </c>
      <c r="H13" s="6" t="s">
        <v>27</v>
      </c>
      <c r="I13" s="3" t="s">
        <v>117</v>
      </c>
      <c r="J13" s="3" t="s">
        <v>118</v>
      </c>
      <c r="K13" s="3" t="s">
        <v>119</v>
      </c>
      <c r="L13" s="3" t="s">
        <v>120</v>
      </c>
      <c r="M13" s="3" t="s">
        <v>121</v>
      </c>
      <c r="N13" s="3" t="s">
        <v>122</v>
      </c>
      <c r="O13" s="3" t="s">
        <v>112</v>
      </c>
      <c r="P13" s="2" t="s">
        <v>35</v>
      </c>
      <c r="Q13" s="7"/>
      <c r="R13" s="7"/>
      <c r="S13" s="7"/>
    </row>
    <row r="14" spans="1:19" ht="182.85" customHeight="1">
      <c r="A14" s="2">
        <v>10</v>
      </c>
      <c r="B14" s="3" t="s">
        <v>123</v>
      </c>
      <c r="C14" s="2" t="s">
        <v>22</v>
      </c>
      <c r="D14" s="3" t="s">
        <v>124</v>
      </c>
      <c r="E14" s="4" t="s">
        <v>125</v>
      </c>
      <c r="F14" s="9" t="s">
        <v>116</v>
      </c>
      <c r="G14" s="3" t="s">
        <v>58</v>
      </c>
      <c r="H14" s="6" t="s">
        <v>27</v>
      </c>
      <c r="I14" s="3" t="s">
        <v>126</v>
      </c>
      <c r="J14" s="3" t="s">
        <v>127</v>
      </c>
      <c r="K14" s="3" t="s">
        <v>128</v>
      </c>
      <c r="L14" s="3" t="s">
        <v>129</v>
      </c>
      <c r="M14" s="3" t="s">
        <v>130</v>
      </c>
      <c r="N14" s="3" t="s">
        <v>131</v>
      </c>
      <c r="O14" s="3" t="s">
        <v>58</v>
      </c>
      <c r="P14" s="2" t="s">
        <v>35</v>
      </c>
      <c r="Q14" s="7"/>
      <c r="R14" s="7"/>
      <c r="S14" s="7"/>
    </row>
    <row r="15" spans="1:19" ht="73.349999999999994" customHeight="1">
      <c r="A15" s="2">
        <v>11</v>
      </c>
      <c r="B15" s="3" t="s">
        <v>132</v>
      </c>
      <c r="C15" s="2" t="s">
        <v>22</v>
      </c>
      <c r="D15" s="3" t="s">
        <v>133</v>
      </c>
      <c r="E15" s="4" t="s">
        <v>134</v>
      </c>
      <c r="F15" s="5" t="s">
        <v>25</v>
      </c>
      <c r="G15" s="3" t="s">
        <v>135</v>
      </c>
      <c r="H15" s="6" t="s">
        <v>27</v>
      </c>
      <c r="I15" s="3" t="s">
        <v>136</v>
      </c>
      <c r="J15" s="3" t="s">
        <v>137</v>
      </c>
      <c r="K15" s="3" t="s">
        <v>138</v>
      </c>
      <c r="L15" s="3" t="s">
        <v>139</v>
      </c>
      <c r="M15" s="3" t="s">
        <v>140</v>
      </c>
      <c r="N15" s="3" t="s">
        <v>141</v>
      </c>
      <c r="O15" s="3" t="s">
        <v>142</v>
      </c>
      <c r="P15" s="2" t="s">
        <v>35</v>
      </c>
      <c r="Q15" s="7" t="s">
        <v>143</v>
      </c>
      <c r="R15" s="7"/>
      <c r="S15" s="7"/>
    </row>
    <row r="16" spans="1:19" ht="81.599999999999994" customHeight="1">
      <c r="A16" s="2">
        <v>12</v>
      </c>
      <c r="B16" s="3" t="s">
        <v>144</v>
      </c>
      <c r="C16" s="2" t="s">
        <v>22</v>
      </c>
      <c r="D16" s="3" t="s">
        <v>145</v>
      </c>
      <c r="E16" s="4" t="s">
        <v>146</v>
      </c>
      <c r="F16" s="9" t="s">
        <v>51</v>
      </c>
      <c r="G16" s="3" t="s">
        <v>147</v>
      </c>
      <c r="H16" s="6" t="s">
        <v>27</v>
      </c>
      <c r="I16" s="3" t="s">
        <v>136</v>
      </c>
      <c r="J16" s="3" t="s">
        <v>137</v>
      </c>
      <c r="K16" s="3" t="s">
        <v>148</v>
      </c>
      <c r="L16" s="3" t="s">
        <v>149</v>
      </c>
      <c r="M16" s="3" t="s">
        <v>150</v>
      </c>
      <c r="N16" s="3" t="s">
        <v>151</v>
      </c>
      <c r="O16" s="3" t="s">
        <v>152</v>
      </c>
      <c r="P16" s="2" t="s">
        <v>35</v>
      </c>
      <c r="Q16" s="24" t="s">
        <v>153</v>
      </c>
      <c r="R16" s="7"/>
      <c r="S16" s="7"/>
    </row>
    <row r="17" spans="1:19" ht="64.7" customHeight="1">
      <c r="A17" s="2">
        <v>13</v>
      </c>
      <c r="B17" s="3" t="s">
        <v>154</v>
      </c>
      <c r="C17" s="2" t="s">
        <v>22</v>
      </c>
      <c r="D17" s="3" t="s">
        <v>155</v>
      </c>
      <c r="E17" s="4" t="s">
        <v>156</v>
      </c>
      <c r="F17" s="5" t="s">
        <v>25</v>
      </c>
      <c r="G17" s="3" t="s">
        <v>157</v>
      </c>
      <c r="H17" s="6" t="s">
        <v>27</v>
      </c>
      <c r="I17" s="3" t="s">
        <v>136</v>
      </c>
      <c r="J17" s="3" t="s">
        <v>137</v>
      </c>
      <c r="K17" s="3" t="s">
        <v>158</v>
      </c>
      <c r="L17" s="3" t="s">
        <v>159</v>
      </c>
      <c r="M17" s="3" t="s">
        <v>160</v>
      </c>
      <c r="N17" s="3" t="s">
        <v>161</v>
      </c>
      <c r="O17" s="3" t="s">
        <v>162</v>
      </c>
      <c r="P17" s="2" t="s">
        <v>35</v>
      </c>
      <c r="Q17" s="7"/>
      <c r="R17" s="7"/>
      <c r="S17" s="7"/>
    </row>
    <row r="18" spans="1:19" ht="64.7" customHeight="1">
      <c r="A18" s="2">
        <v>14</v>
      </c>
      <c r="B18" s="3" t="s">
        <v>163</v>
      </c>
      <c r="C18" s="2" t="s">
        <v>22</v>
      </c>
      <c r="D18" s="3" t="s">
        <v>164</v>
      </c>
      <c r="E18" s="4" t="s">
        <v>165</v>
      </c>
      <c r="F18" s="5" t="s">
        <v>25</v>
      </c>
      <c r="G18" s="3" t="s">
        <v>166</v>
      </c>
      <c r="H18" s="6" t="s">
        <v>27</v>
      </c>
      <c r="I18" s="3" t="s">
        <v>136</v>
      </c>
      <c r="J18" s="3" t="s">
        <v>137</v>
      </c>
      <c r="K18" s="3" t="s">
        <v>167</v>
      </c>
      <c r="L18" s="3" t="s">
        <v>168</v>
      </c>
      <c r="M18" s="3" t="s">
        <v>169</v>
      </c>
      <c r="N18" s="3" t="s">
        <v>170</v>
      </c>
      <c r="O18" s="3" t="s">
        <v>171</v>
      </c>
      <c r="P18" s="2" t="s">
        <v>35</v>
      </c>
      <c r="Q18" s="7"/>
      <c r="R18" s="7"/>
      <c r="S18" s="7"/>
    </row>
    <row r="19" spans="1:19" ht="45" customHeight="1">
      <c r="A19" s="2">
        <v>15</v>
      </c>
      <c r="B19" s="3" t="s">
        <v>172</v>
      </c>
      <c r="C19" s="2" t="s">
        <v>22</v>
      </c>
      <c r="D19" s="3" t="s">
        <v>173</v>
      </c>
      <c r="E19" s="4" t="s">
        <v>174</v>
      </c>
      <c r="F19" s="9" t="s">
        <v>51</v>
      </c>
      <c r="G19" s="3" t="s">
        <v>175</v>
      </c>
      <c r="H19" s="2" t="s">
        <v>176</v>
      </c>
      <c r="I19" s="3"/>
      <c r="J19" s="3"/>
      <c r="K19" s="3" t="s">
        <v>177</v>
      </c>
      <c r="L19" s="3" t="s">
        <v>178</v>
      </c>
      <c r="M19" s="3" t="s">
        <v>179</v>
      </c>
      <c r="N19" s="3" t="s">
        <v>180</v>
      </c>
      <c r="O19" s="3" t="s">
        <v>58</v>
      </c>
      <c r="P19" s="2" t="s">
        <v>35</v>
      </c>
      <c r="Q19" s="7" t="s">
        <v>181</v>
      </c>
      <c r="R19" s="7"/>
      <c r="S19" s="7"/>
    </row>
    <row r="20" spans="1:19" ht="45" customHeight="1">
      <c r="A20" s="2">
        <v>16</v>
      </c>
      <c r="B20" s="3" t="s">
        <v>182</v>
      </c>
      <c r="C20" s="2" t="s">
        <v>22</v>
      </c>
      <c r="D20" s="3" t="s">
        <v>183</v>
      </c>
      <c r="E20" s="4" t="s">
        <v>184</v>
      </c>
      <c r="F20" s="9" t="s">
        <v>51</v>
      </c>
      <c r="G20" s="3" t="s">
        <v>185</v>
      </c>
      <c r="H20" s="6" t="s">
        <v>27</v>
      </c>
      <c r="I20" s="3" t="s">
        <v>186</v>
      </c>
      <c r="J20" s="3" t="s">
        <v>187</v>
      </c>
      <c r="K20" s="3" t="s">
        <v>188</v>
      </c>
      <c r="L20" s="3" t="s">
        <v>189</v>
      </c>
      <c r="M20" s="3" t="s">
        <v>190</v>
      </c>
      <c r="N20" s="3" t="s">
        <v>58</v>
      </c>
      <c r="O20" s="3" t="s">
        <v>58</v>
      </c>
      <c r="P20" s="2" t="s">
        <v>35</v>
      </c>
      <c r="Q20" s="7" t="s">
        <v>191</v>
      </c>
      <c r="R20" s="7"/>
      <c r="S20" s="7"/>
    </row>
    <row r="21" spans="1:19" ht="152.85" customHeight="1">
      <c r="A21" s="2">
        <v>17</v>
      </c>
      <c r="B21" s="3" t="s">
        <v>192</v>
      </c>
      <c r="C21" s="2" t="s">
        <v>22</v>
      </c>
      <c r="D21" s="3" t="s">
        <v>193</v>
      </c>
      <c r="E21" s="4" t="s">
        <v>194</v>
      </c>
      <c r="F21" s="10" t="s">
        <v>195</v>
      </c>
      <c r="G21" s="3" t="s">
        <v>196</v>
      </c>
      <c r="H21" s="2" t="s">
        <v>176</v>
      </c>
      <c r="I21" s="3"/>
      <c r="J21" s="3" t="s">
        <v>197</v>
      </c>
      <c r="K21" s="3" t="s">
        <v>198</v>
      </c>
      <c r="L21" s="3" t="s">
        <v>199</v>
      </c>
      <c r="M21" s="3" t="s">
        <v>200</v>
      </c>
      <c r="N21" s="3" t="s">
        <v>201</v>
      </c>
      <c r="O21" s="3" t="s">
        <v>58</v>
      </c>
      <c r="P21" s="2" t="s">
        <v>35</v>
      </c>
      <c r="Q21" s="7" t="s">
        <v>202</v>
      </c>
      <c r="R21" s="7"/>
      <c r="S21" s="7"/>
    </row>
    <row r="22" spans="1:19" ht="68.099999999999994" customHeight="1">
      <c r="A22" s="2">
        <v>18</v>
      </c>
      <c r="B22" s="3" t="s">
        <v>203</v>
      </c>
      <c r="C22" s="2" t="s">
        <v>22</v>
      </c>
      <c r="D22" s="3" t="s">
        <v>204</v>
      </c>
      <c r="E22" s="4" t="s">
        <v>205</v>
      </c>
      <c r="F22" s="10" t="s">
        <v>195</v>
      </c>
      <c r="G22" s="3" t="s">
        <v>206</v>
      </c>
      <c r="H22" s="2" t="s">
        <v>176</v>
      </c>
      <c r="I22" s="3"/>
      <c r="J22" s="3"/>
      <c r="K22" s="3" t="s">
        <v>207</v>
      </c>
      <c r="L22" s="3" t="s">
        <v>208</v>
      </c>
      <c r="M22" s="3" t="s">
        <v>209</v>
      </c>
      <c r="N22" s="3" t="s">
        <v>210</v>
      </c>
      <c r="O22" s="3" t="s">
        <v>211</v>
      </c>
      <c r="P22" s="2" t="s">
        <v>35</v>
      </c>
      <c r="Q22" s="7" t="s">
        <v>212</v>
      </c>
      <c r="R22" s="7"/>
      <c r="S22" s="7"/>
    </row>
    <row r="23" spans="1:19" ht="61.35" customHeight="1">
      <c r="A23" s="2">
        <v>19</v>
      </c>
      <c r="B23" s="3" t="s">
        <v>213</v>
      </c>
      <c r="C23" s="2" t="s">
        <v>22</v>
      </c>
      <c r="D23" s="3" t="s">
        <v>214</v>
      </c>
      <c r="E23" s="4" t="s">
        <v>215</v>
      </c>
      <c r="F23" s="5" t="s">
        <v>25</v>
      </c>
      <c r="G23" s="3" t="s">
        <v>216</v>
      </c>
      <c r="H23" s="2" t="s">
        <v>176</v>
      </c>
      <c r="I23" s="3"/>
      <c r="J23" s="3"/>
      <c r="K23" s="3" t="s">
        <v>217</v>
      </c>
      <c r="L23" s="3" t="s">
        <v>218</v>
      </c>
      <c r="M23" s="3" t="s">
        <v>219</v>
      </c>
      <c r="N23" s="3" t="s">
        <v>220</v>
      </c>
      <c r="O23" s="3" t="s">
        <v>58</v>
      </c>
      <c r="P23" s="2" t="s">
        <v>35</v>
      </c>
      <c r="Q23" s="7" t="s">
        <v>221</v>
      </c>
      <c r="R23" s="7"/>
      <c r="S23" s="7"/>
    </row>
    <row r="24" spans="1:19" ht="57" customHeight="1">
      <c r="A24" s="2">
        <v>20</v>
      </c>
      <c r="B24" s="3" t="s">
        <v>222</v>
      </c>
      <c r="C24" s="2" t="s">
        <v>22</v>
      </c>
      <c r="D24" s="3" t="s">
        <v>223</v>
      </c>
      <c r="E24" s="4" t="s">
        <v>224</v>
      </c>
      <c r="F24" s="9" t="s">
        <v>51</v>
      </c>
      <c r="G24" s="3" t="s">
        <v>225</v>
      </c>
      <c r="H24" s="2" t="s">
        <v>176</v>
      </c>
      <c r="I24" s="3"/>
      <c r="J24" s="3"/>
      <c r="K24" s="3" t="s">
        <v>226</v>
      </c>
      <c r="L24" s="3" t="s">
        <v>227</v>
      </c>
      <c r="M24" s="3" t="s">
        <v>228</v>
      </c>
      <c r="N24" s="3" t="s">
        <v>229</v>
      </c>
      <c r="O24" s="3" t="s">
        <v>230</v>
      </c>
      <c r="P24" s="2" t="s">
        <v>35</v>
      </c>
      <c r="Q24" s="7" t="s">
        <v>231</v>
      </c>
      <c r="R24" s="7"/>
      <c r="S24" s="7"/>
    </row>
    <row r="25" spans="1:19" ht="55.15" customHeight="1">
      <c r="A25" s="2">
        <v>21</v>
      </c>
      <c r="B25" s="3" t="s">
        <v>232</v>
      </c>
      <c r="C25" s="2" t="s">
        <v>22</v>
      </c>
      <c r="D25" s="3" t="s">
        <v>233</v>
      </c>
      <c r="E25" s="4" t="s">
        <v>234</v>
      </c>
      <c r="F25" s="9" t="s">
        <v>51</v>
      </c>
      <c r="G25" s="3" t="s">
        <v>235</v>
      </c>
      <c r="H25" s="2" t="s">
        <v>176</v>
      </c>
      <c r="I25" s="3"/>
      <c r="J25" s="3"/>
      <c r="K25" s="3" t="s">
        <v>236</v>
      </c>
      <c r="L25" s="3" t="s">
        <v>237</v>
      </c>
      <c r="M25" s="3" t="s">
        <v>238</v>
      </c>
      <c r="N25" s="3" t="s">
        <v>239</v>
      </c>
      <c r="O25" s="3" t="s">
        <v>240</v>
      </c>
      <c r="P25" s="2" t="s">
        <v>35</v>
      </c>
      <c r="Q25" s="7" t="s">
        <v>241</v>
      </c>
      <c r="R25" s="7"/>
      <c r="S25" s="7"/>
    </row>
    <row r="26" spans="1:19" ht="86.1" customHeight="1">
      <c r="A26" s="2">
        <v>22</v>
      </c>
      <c r="B26" s="3" t="s">
        <v>242</v>
      </c>
      <c r="C26" s="2" t="s">
        <v>22</v>
      </c>
      <c r="D26" s="3" t="s">
        <v>243</v>
      </c>
      <c r="E26" s="4" t="s">
        <v>244</v>
      </c>
      <c r="F26" s="9" t="s">
        <v>51</v>
      </c>
      <c r="G26" s="3" t="s">
        <v>245</v>
      </c>
      <c r="H26" s="2" t="s">
        <v>176</v>
      </c>
      <c r="I26" s="3"/>
      <c r="J26" s="3"/>
      <c r="K26" s="3" t="s">
        <v>246</v>
      </c>
      <c r="L26" s="3" t="s">
        <v>247</v>
      </c>
      <c r="M26" s="3" t="s">
        <v>248</v>
      </c>
      <c r="N26" s="3" t="s">
        <v>249</v>
      </c>
      <c r="O26" s="3" t="s">
        <v>58</v>
      </c>
      <c r="P26" s="2" t="s">
        <v>35</v>
      </c>
      <c r="Q26" s="7" t="s">
        <v>250</v>
      </c>
      <c r="R26" s="7"/>
      <c r="S26" s="7"/>
    </row>
    <row r="27" spans="1:19" ht="251.45" customHeight="1">
      <c r="A27" s="2">
        <v>23</v>
      </c>
      <c r="B27" s="3" t="s">
        <v>251</v>
      </c>
      <c r="C27" s="2" t="s">
        <v>22</v>
      </c>
      <c r="D27" s="3" t="s">
        <v>252</v>
      </c>
      <c r="E27" s="4" t="s">
        <v>253</v>
      </c>
      <c r="F27" s="9" t="s">
        <v>116</v>
      </c>
      <c r="G27" s="3" t="s">
        <v>58</v>
      </c>
      <c r="H27" s="2" t="s">
        <v>176</v>
      </c>
      <c r="I27" s="3"/>
      <c r="J27" s="3"/>
      <c r="K27" s="3" t="s">
        <v>254</v>
      </c>
      <c r="L27" s="3" t="s">
        <v>255</v>
      </c>
      <c r="M27" s="3" t="s">
        <v>256</v>
      </c>
      <c r="N27" s="3" t="s">
        <v>257</v>
      </c>
      <c r="O27" s="3" t="s">
        <v>258</v>
      </c>
      <c r="P27" s="2" t="s">
        <v>35</v>
      </c>
      <c r="Q27" s="7" t="s">
        <v>259</v>
      </c>
      <c r="R27" s="7"/>
      <c r="S27" s="7"/>
    </row>
    <row r="28" spans="1:19" ht="154.5" customHeight="1">
      <c r="A28" s="2">
        <v>24</v>
      </c>
      <c r="B28" s="3" t="s">
        <v>260</v>
      </c>
      <c r="C28" s="2" t="s">
        <v>22</v>
      </c>
      <c r="D28" s="3" t="s">
        <v>261</v>
      </c>
      <c r="E28" s="4" t="s">
        <v>262</v>
      </c>
      <c r="F28" s="11" t="s">
        <v>263</v>
      </c>
      <c r="G28" s="3" t="s">
        <v>58</v>
      </c>
      <c r="H28" s="2" t="s">
        <v>176</v>
      </c>
      <c r="I28" s="3"/>
      <c r="J28" s="3"/>
      <c r="K28" s="3" t="s">
        <v>264</v>
      </c>
      <c r="L28" s="3" t="s">
        <v>265</v>
      </c>
      <c r="M28" s="3" t="s">
        <v>266</v>
      </c>
      <c r="N28" s="3" t="s">
        <v>267</v>
      </c>
      <c r="O28" s="3" t="s">
        <v>58</v>
      </c>
      <c r="P28" s="2" t="s">
        <v>35</v>
      </c>
      <c r="Q28" s="7" t="s">
        <v>268</v>
      </c>
      <c r="R28" s="7"/>
      <c r="S28" s="7"/>
    </row>
    <row r="29" spans="1:19" ht="49.9" customHeight="1">
      <c r="A29" s="2">
        <v>25</v>
      </c>
      <c r="B29" s="3" t="s">
        <v>269</v>
      </c>
      <c r="C29" s="2" t="s">
        <v>22</v>
      </c>
      <c r="D29" s="3" t="s">
        <v>270</v>
      </c>
      <c r="E29" s="4" t="s">
        <v>271</v>
      </c>
      <c r="F29" s="10" t="s">
        <v>195</v>
      </c>
      <c r="G29" s="3" t="s">
        <v>272</v>
      </c>
      <c r="H29" s="2" t="s">
        <v>176</v>
      </c>
      <c r="I29" s="3"/>
      <c r="J29" s="3"/>
      <c r="K29" s="3" t="s">
        <v>273</v>
      </c>
      <c r="L29" s="3" t="s">
        <v>274</v>
      </c>
      <c r="M29" s="3" t="s">
        <v>275</v>
      </c>
      <c r="N29" s="3" t="s">
        <v>276</v>
      </c>
      <c r="O29" s="3" t="s">
        <v>277</v>
      </c>
      <c r="P29" s="2" t="s">
        <v>35</v>
      </c>
      <c r="Q29" s="7" t="s">
        <v>278</v>
      </c>
      <c r="R29" s="7"/>
      <c r="S29" s="7"/>
    </row>
    <row r="30" spans="1:19" ht="58.5" customHeight="1">
      <c r="A30" s="2">
        <v>26</v>
      </c>
      <c r="B30" s="3" t="s">
        <v>279</v>
      </c>
      <c r="C30" s="2" t="s">
        <v>22</v>
      </c>
      <c r="D30" s="3" t="s">
        <v>280</v>
      </c>
      <c r="E30" s="4" t="s">
        <v>281</v>
      </c>
      <c r="F30" s="11" t="s">
        <v>263</v>
      </c>
      <c r="G30" s="3" t="s">
        <v>58</v>
      </c>
      <c r="H30" s="2" t="s">
        <v>176</v>
      </c>
      <c r="I30" s="3"/>
      <c r="J30" s="3"/>
      <c r="K30" s="3" t="s">
        <v>282</v>
      </c>
      <c r="L30" s="3" t="s">
        <v>283</v>
      </c>
      <c r="M30" s="3" t="s">
        <v>284</v>
      </c>
      <c r="N30" s="3" t="s">
        <v>285</v>
      </c>
      <c r="O30" s="3" t="s">
        <v>58</v>
      </c>
      <c r="P30" s="2" t="s">
        <v>35</v>
      </c>
      <c r="Q30" s="7" t="s">
        <v>286</v>
      </c>
      <c r="R30" s="7"/>
      <c r="S30" s="7"/>
    </row>
    <row r="31" spans="1:19" ht="67.900000000000006" customHeight="1">
      <c r="A31" s="2">
        <v>27</v>
      </c>
      <c r="B31" s="3" t="s">
        <v>287</v>
      </c>
      <c r="C31" s="2" t="s">
        <v>22</v>
      </c>
      <c r="D31" s="3" t="s">
        <v>288</v>
      </c>
      <c r="E31" s="4" t="s">
        <v>289</v>
      </c>
      <c r="F31" s="9" t="s">
        <v>51</v>
      </c>
      <c r="G31" s="3" t="s">
        <v>290</v>
      </c>
      <c r="H31" s="2" t="s">
        <v>176</v>
      </c>
      <c r="I31" s="3"/>
      <c r="J31" s="3"/>
      <c r="K31" s="3" t="s">
        <v>291</v>
      </c>
      <c r="L31" s="3" t="s">
        <v>292</v>
      </c>
      <c r="M31" s="3" t="s">
        <v>293</v>
      </c>
      <c r="N31" s="3" t="s">
        <v>294</v>
      </c>
      <c r="O31" s="3" t="s">
        <v>58</v>
      </c>
      <c r="P31" s="2" t="s">
        <v>35</v>
      </c>
      <c r="Q31" s="7" t="s">
        <v>295</v>
      </c>
      <c r="R31" s="7"/>
      <c r="S31" s="7"/>
    </row>
    <row r="32" spans="1:19" ht="135.94999999999999" customHeight="1">
      <c r="A32" s="2">
        <v>28</v>
      </c>
      <c r="B32" s="3" t="s">
        <v>296</v>
      </c>
      <c r="C32" s="2" t="s">
        <v>22</v>
      </c>
      <c r="D32" s="3" t="s">
        <v>297</v>
      </c>
      <c r="E32" s="4" t="s">
        <v>298</v>
      </c>
      <c r="F32" s="5" t="s">
        <v>299</v>
      </c>
      <c r="G32" s="3" t="s">
        <v>58</v>
      </c>
      <c r="H32" s="12" t="s">
        <v>300</v>
      </c>
      <c r="I32" s="3"/>
      <c r="J32" s="3"/>
      <c r="K32" s="3" t="s">
        <v>301</v>
      </c>
      <c r="L32" s="3" t="s">
        <v>302</v>
      </c>
      <c r="M32" s="3" t="s">
        <v>303</v>
      </c>
      <c r="N32" s="3" t="s">
        <v>304</v>
      </c>
      <c r="O32" s="3" t="s">
        <v>305</v>
      </c>
      <c r="P32" s="2" t="s">
        <v>35</v>
      </c>
      <c r="Q32" s="7" t="s">
        <v>306</v>
      </c>
      <c r="R32" s="7"/>
      <c r="S32" s="7"/>
    </row>
    <row r="33" spans="1:19" ht="145.5" customHeight="1">
      <c r="A33" s="2">
        <v>29</v>
      </c>
      <c r="B33" s="3" t="s">
        <v>307</v>
      </c>
      <c r="C33" s="2" t="s">
        <v>22</v>
      </c>
      <c r="D33" s="3" t="s">
        <v>308</v>
      </c>
      <c r="E33" s="4" t="s">
        <v>309</v>
      </c>
      <c r="F33" s="5" t="s">
        <v>299</v>
      </c>
      <c r="G33" s="3" t="s">
        <v>58</v>
      </c>
      <c r="H33" s="12" t="s">
        <v>300</v>
      </c>
      <c r="I33" s="3"/>
      <c r="J33" s="3"/>
      <c r="K33" s="3" t="s">
        <v>310</v>
      </c>
      <c r="L33" s="3" t="s">
        <v>274</v>
      </c>
      <c r="M33" s="3" t="s">
        <v>311</v>
      </c>
      <c r="N33" s="3" t="s">
        <v>312</v>
      </c>
      <c r="O33" s="3" t="s">
        <v>230</v>
      </c>
      <c r="P33" s="2" t="s">
        <v>35</v>
      </c>
      <c r="Q33" s="7" t="s">
        <v>313</v>
      </c>
      <c r="R33" s="7"/>
      <c r="S33" s="7"/>
    </row>
    <row r="34" spans="1:19" ht="328.35" customHeight="1">
      <c r="A34" s="2">
        <v>30</v>
      </c>
      <c r="B34" s="3" t="s">
        <v>314</v>
      </c>
      <c r="C34" s="2" t="s">
        <v>315</v>
      </c>
      <c r="D34" s="3" t="s">
        <v>316</v>
      </c>
      <c r="E34" s="4" t="s">
        <v>317</v>
      </c>
      <c r="F34" s="10" t="s">
        <v>195</v>
      </c>
      <c r="G34" s="3" t="s">
        <v>318</v>
      </c>
      <c r="H34" s="2" t="s">
        <v>176</v>
      </c>
      <c r="I34" s="3"/>
      <c r="J34" s="3"/>
      <c r="K34" s="3" t="s">
        <v>319</v>
      </c>
      <c r="L34" s="3" t="s">
        <v>320</v>
      </c>
      <c r="M34" s="3" t="s">
        <v>321</v>
      </c>
      <c r="N34" s="3" t="s">
        <v>322</v>
      </c>
      <c r="O34" s="3" t="s">
        <v>323</v>
      </c>
      <c r="P34" s="2" t="s">
        <v>35</v>
      </c>
      <c r="Q34" s="7" t="s">
        <v>324</v>
      </c>
      <c r="R34" s="7"/>
      <c r="S34" s="7"/>
    </row>
    <row r="35" spans="1:19" ht="65.45" customHeight="1">
      <c r="A35" s="2">
        <v>31</v>
      </c>
      <c r="B35" s="3" t="s">
        <v>325</v>
      </c>
      <c r="C35" s="2" t="s">
        <v>315</v>
      </c>
      <c r="D35" s="3" t="s">
        <v>326</v>
      </c>
      <c r="E35" s="4" t="s">
        <v>327</v>
      </c>
      <c r="F35" s="5" t="s">
        <v>25</v>
      </c>
      <c r="G35" s="3" t="s">
        <v>328</v>
      </c>
      <c r="H35" s="2" t="s">
        <v>176</v>
      </c>
      <c r="I35" s="3"/>
      <c r="J35" s="3"/>
      <c r="K35" s="3" t="s">
        <v>329</v>
      </c>
      <c r="L35" s="3" t="s">
        <v>330</v>
      </c>
      <c r="M35" s="3" t="s">
        <v>331</v>
      </c>
      <c r="N35" s="3" t="s">
        <v>332</v>
      </c>
      <c r="O35" s="3" t="s">
        <v>333</v>
      </c>
      <c r="P35" s="2" t="s">
        <v>35</v>
      </c>
      <c r="Q35" s="7" t="s">
        <v>334</v>
      </c>
      <c r="R35" s="7"/>
      <c r="S35" s="7"/>
    </row>
    <row r="36" spans="1:19" ht="71.849999999999994" customHeight="1">
      <c r="A36" s="2">
        <v>32</v>
      </c>
      <c r="B36" s="3" t="s">
        <v>335</v>
      </c>
      <c r="C36" s="2" t="s">
        <v>315</v>
      </c>
      <c r="D36" s="3" t="s">
        <v>336</v>
      </c>
      <c r="E36" s="4" t="s">
        <v>337</v>
      </c>
      <c r="F36" s="9" t="s">
        <v>116</v>
      </c>
      <c r="G36" s="3" t="s">
        <v>58</v>
      </c>
      <c r="H36" s="2" t="s">
        <v>176</v>
      </c>
      <c r="I36" s="3"/>
      <c r="J36" s="3"/>
      <c r="K36" s="3" t="s">
        <v>338</v>
      </c>
      <c r="L36" s="3" t="s">
        <v>339</v>
      </c>
      <c r="M36" s="3" t="s">
        <v>340</v>
      </c>
      <c r="N36" s="3" t="s">
        <v>341</v>
      </c>
      <c r="O36" s="3" t="s">
        <v>58</v>
      </c>
      <c r="P36" s="2" t="s">
        <v>35</v>
      </c>
      <c r="Q36" s="7" t="s">
        <v>342</v>
      </c>
      <c r="R36" s="7"/>
      <c r="S36" s="7"/>
    </row>
    <row r="37" spans="1:19" ht="71.099999999999994" customHeight="1">
      <c r="A37" s="2">
        <v>33</v>
      </c>
      <c r="B37" s="3" t="s">
        <v>343</v>
      </c>
      <c r="C37" s="2" t="s">
        <v>315</v>
      </c>
      <c r="D37" s="3" t="s">
        <v>344</v>
      </c>
      <c r="E37" s="4" t="s">
        <v>345</v>
      </c>
      <c r="F37" s="5" t="s">
        <v>25</v>
      </c>
      <c r="G37" s="3" t="s">
        <v>346</v>
      </c>
      <c r="H37" s="2" t="s">
        <v>176</v>
      </c>
      <c r="I37" s="3"/>
      <c r="J37" s="3"/>
      <c r="K37" s="3" t="s">
        <v>347</v>
      </c>
      <c r="L37" s="3" t="s">
        <v>348</v>
      </c>
      <c r="M37" s="3" t="s">
        <v>349</v>
      </c>
      <c r="N37" s="3" t="s">
        <v>350</v>
      </c>
      <c r="O37" s="3" t="s">
        <v>58</v>
      </c>
      <c r="P37" s="2" t="s">
        <v>35</v>
      </c>
      <c r="Q37" s="7"/>
      <c r="R37" s="7"/>
      <c r="S37" s="7"/>
    </row>
    <row r="38" spans="1:19" ht="139.9" customHeight="1">
      <c r="A38" s="2">
        <v>34</v>
      </c>
      <c r="B38" s="3" t="s">
        <v>351</v>
      </c>
      <c r="C38" s="2" t="s">
        <v>315</v>
      </c>
      <c r="D38" s="3" t="s">
        <v>352</v>
      </c>
      <c r="E38" s="4" t="s">
        <v>353</v>
      </c>
      <c r="F38" s="9" t="s">
        <v>116</v>
      </c>
      <c r="G38" s="3" t="s">
        <v>58</v>
      </c>
      <c r="H38" s="2" t="s">
        <v>176</v>
      </c>
      <c r="I38" s="3"/>
      <c r="J38" s="3"/>
      <c r="K38" s="3" t="s">
        <v>354</v>
      </c>
      <c r="L38" s="3" t="s">
        <v>355</v>
      </c>
      <c r="M38" s="3" t="s">
        <v>356</v>
      </c>
      <c r="N38" s="3" t="s">
        <v>357</v>
      </c>
      <c r="O38" s="3" t="s">
        <v>58</v>
      </c>
      <c r="P38" s="2" t="s">
        <v>35</v>
      </c>
      <c r="Q38" s="7" t="s">
        <v>358</v>
      </c>
      <c r="R38" s="7"/>
      <c r="S38" s="7"/>
    </row>
    <row r="39" spans="1:19" ht="62.65" customHeight="1">
      <c r="A39" s="2">
        <v>35</v>
      </c>
      <c r="B39" s="3" t="s">
        <v>359</v>
      </c>
      <c r="C39" s="2" t="s">
        <v>315</v>
      </c>
      <c r="D39" s="3" t="s">
        <v>360</v>
      </c>
      <c r="E39" s="4" t="s">
        <v>361</v>
      </c>
      <c r="F39" s="9" t="s">
        <v>116</v>
      </c>
      <c r="G39" s="3" t="s">
        <v>58</v>
      </c>
      <c r="H39" s="2" t="s">
        <v>176</v>
      </c>
      <c r="I39" s="3"/>
      <c r="J39" s="3"/>
      <c r="K39" s="3" t="s">
        <v>362</v>
      </c>
      <c r="L39" s="3" t="s">
        <v>363</v>
      </c>
      <c r="M39" s="3" t="s">
        <v>364</v>
      </c>
      <c r="N39" s="3" t="s">
        <v>365</v>
      </c>
      <c r="O39" s="3" t="s">
        <v>366</v>
      </c>
      <c r="P39" s="2" t="s">
        <v>35</v>
      </c>
      <c r="Q39" s="7" t="s">
        <v>278</v>
      </c>
      <c r="R39" s="7"/>
      <c r="S39" s="7"/>
    </row>
    <row r="40" spans="1:19" ht="79.5" customHeight="1">
      <c r="A40" s="2">
        <v>36</v>
      </c>
      <c r="B40" s="3" t="s">
        <v>367</v>
      </c>
      <c r="C40" s="2" t="s">
        <v>315</v>
      </c>
      <c r="D40" s="3" t="s">
        <v>368</v>
      </c>
      <c r="E40" s="4" t="s">
        <v>369</v>
      </c>
      <c r="F40" s="9" t="s">
        <v>51</v>
      </c>
      <c r="G40" s="3" t="s">
        <v>235</v>
      </c>
      <c r="H40" s="2" t="s">
        <v>176</v>
      </c>
      <c r="I40" s="3"/>
      <c r="J40" s="3"/>
      <c r="K40" s="3" t="s">
        <v>370</v>
      </c>
      <c r="L40" s="3" t="s">
        <v>371</v>
      </c>
      <c r="M40" s="3" t="s">
        <v>372</v>
      </c>
      <c r="N40" s="3" t="s">
        <v>373</v>
      </c>
      <c r="O40" s="3" t="s">
        <v>374</v>
      </c>
      <c r="P40" s="2" t="s">
        <v>35</v>
      </c>
      <c r="Q40" s="7" t="s">
        <v>375</v>
      </c>
      <c r="R40" s="7"/>
      <c r="S40" s="7"/>
    </row>
    <row r="41" spans="1:19" ht="86.25" customHeight="1">
      <c r="A41" s="2">
        <v>37</v>
      </c>
      <c r="B41" s="3" t="s">
        <v>376</v>
      </c>
      <c r="C41" s="2" t="s">
        <v>315</v>
      </c>
      <c r="D41" s="3" t="s">
        <v>377</v>
      </c>
      <c r="E41" s="4" t="s">
        <v>378</v>
      </c>
      <c r="F41" s="5" t="s">
        <v>299</v>
      </c>
      <c r="G41" s="3" t="s">
        <v>58</v>
      </c>
      <c r="H41" s="2" t="s">
        <v>176</v>
      </c>
      <c r="I41" s="3"/>
      <c r="J41" s="3"/>
      <c r="K41" s="3" t="s">
        <v>379</v>
      </c>
      <c r="L41" s="3" t="s">
        <v>380</v>
      </c>
      <c r="M41" s="3" t="s">
        <v>381</v>
      </c>
      <c r="N41" s="3" t="s">
        <v>382</v>
      </c>
      <c r="O41" s="3" t="s">
        <v>58</v>
      </c>
      <c r="P41" s="2" t="s">
        <v>35</v>
      </c>
      <c r="Q41" s="7"/>
      <c r="R41" s="7"/>
      <c r="S41" s="7"/>
    </row>
    <row r="42" spans="1:19" ht="45" customHeight="1">
      <c r="A42" s="2">
        <v>38</v>
      </c>
      <c r="B42" s="3" t="s">
        <v>383</v>
      </c>
      <c r="C42" s="2" t="s">
        <v>315</v>
      </c>
      <c r="D42" s="3" t="s">
        <v>384</v>
      </c>
      <c r="E42" s="4" t="s">
        <v>385</v>
      </c>
      <c r="F42" s="11" t="s">
        <v>386</v>
      </c>
      <c r="G42" s="3" t="s">
        <v>58</v>
      </c>
      <c r="H42" s="2" t="s">
        <v>176</v>
      </c>
      <c r="I42" s="3"/>
      <c r="J42" s="3"/>
      <c r="K42" s="3" t="s">
        <v>387</v>
      </c>
      <c r="L42" s="3" t="s">
        <v>388</v>
      </c>
      <c r="M42" s="3" t="s">
        <v>389</v>
      </c>
      <c r="N42" s="3" t="s">
        <v>390</v>
      </c>
      <c r="O42" s="3" t="s">
        <v>391</v>
      </c>
      <c r="P42" s="2" t="s">
        <v>35</v>
      </c>
      <c r="Q42" s="7" t="s">
        <v>392</v>
      </c>
      <c r="R42" s="7"/>
      <c r="S42" s="7"/>
    </row>
    <row r="43" spans="1:19" ht="129.6" customHeight="1">
      <c r="A43" s="2">
        <v>39</v>
      </c>
      <c r="B43" s="3" t="s">
        <v>393</v>
      </c>
      <c r="C43" s="2" t="s">
        <v>315</v>
      </c>
      <c r="D43" s="3" t="s">
        <v>394</v>
      </c>
      <c r="E43" s="4" t="s">
        <v>395</v>
      </c>
      <c r="F43" s="5" t="s">
        <v>299</v>
      </c>
      <c r="G43" s="3" t="s">
        <v>58</v>
      </c>
      <c r="H43" s="12" t="s">
        <v>300</v>
      </c>
      <c r="I43" s="3"/>
      <c r="J43" s="3"/>
      <c r="K43" s="3" t="s">
        <v>396</v>
      </c>
      <c r="L43" s="3" t="s">
        <v>397</v>
      </c>
      <c r="M43" s="3" t="s">
        <v>398</v>
      </c>
      <c r="N43" s="3" t="s">
        <v>58</v>
      </c>
      <c r="O43" s="3" t="s">
        <v>58</v>
      </c>
      <c r="P43" s="2" t="s">
        <v>35</v>
      </c>
      <c r="Q43" s="7"/>
      <c r="R43" s="7"/>
      <c r="S43" s="7"/>
    </row>
    <row r="44" spans="1:19" ht="159.4" customHeight="1">
      <c r="A44" s="2">
        <v>40</v>
      </c>
      <c r="B44" s="3" t="s">
        <v>399</v>
      </c>
      <c r="C44" s="2" t="s">
        <v>400</v>
      </c>
      <c r="D44" s="3" t="s">
        <v>401</v>
      </c>
      <c r="E44" s="4" t="s">
        <v>402</v>
      </c>
      <c r="F44" s="10" t="s">
        <v>195</v>
      </c>
      <c r="G44" s="3" t="s">
        <v>403</v>
      </c>
      <c r="H44" s="2" t="s">
        <v>176</v>
      </c>
      <c r="I44" s="3"/>
      <c r="J44" s="3"/>
      <c r="K44" s="3" t="s">
        <v>404</v>
      </c>
      <c r="L44" s="3" t="s">
        <v>405</v>
      </c>
      <c r="M44" s="3" t="s">
        <v>406</v>
      </c>
      <c r="N44" s="3" t="s">
        <v>407</v>
      </c>
      <c r="O44" s="3" t="s">
        <v>408</v>
      </c>
      <c r="P44" s="2" t="s">
        <v>35</v>
      </c>
      <c r="Q44" s="7"/>
      <c r="R44" s="7"/>
      <c r="S44" s="7"/>
    </row>
    <row r="45" spans="1:19" ht="108.4" customHeight="1">
      <c r="A45" s="2">
        <v>41</v>
      </c>
      <c r="B45" s="3" t="s">
        <v>409</v>
      </c>
      <c r="C45" s="2" t="s">
        <v>400</v>
      </c>
      <c r="D45" s="3" t="s">
        <v>410</v>
      </c>
      <c r="E45" s="4" t="s">
        <v>411</v>
      </c>
      <c r="F45" s="9" t="s">
        <v>51</v>
      </c>
      <c r="G45" s="3" t="s">
        <v>412</v>
      </c>
      <c r="H45" s="2" t="s">
        <v>176</v>
      </c>
      <c r="I45" s="3"/>
      <c r="J45" s="3"/>
      <c r="K45" s="3" t="s">
        <v>413</v>
      </c>
      <c r="L45" s="3" t="s">
        <v>414</v>
      </c>
      <c r="M45" s="3" t="s">
        <v>415</v>
      </c>
      <c r="N45" s="3" t="s">
        <v>407</v>
      </c>
      <c r="O45" s="3" t="s">
        <v>416</v>
      </c>
      <c r="P45" s="2" t="s">
        <v>35</v>
      </c>
      <c r="Q45" s="7" t="s">
        <v>417</v>
      </c>
      <c r="R45" s="7"/>
      <c r="S45" s="7"/>
    </row>
    <row r="46" spans="1:19" ht="58.35" customHeight="1">
      <c r="A46" s="2">
        <v>42</v>
      </c>
      <c r="B46" s="3" t="s">
        <v>418</v>
      </c>
      <c r="C46" s="2" t="s">
        <v>400</v>
      </c>
      <c r="D46" s="3" t="s">
        <v>419</v>
      </c>
      <c r="E46" s="4" t="s">
        <v>420</v>
      </c>
      <c r="F46" s="10" t="s">
        <v>195</v>
      </c>
      <c r="G46" s="3" t="s">
        <v>421</v>
      </c>
      <c r="H46" s="2" t="s">
        <v>176</v>
      </c>
      <c r="I46" s="3"/>
      <c r="J46" s="3"/>
      <c r="K46" s="3" t="s">
        <v>422</v>
      </c>
      <c r="L46" s="3" t="s">
        <v>423</v>
      </c>
      <c r="M46" s="3" t="s">
        <v>424</v>
      </c>
      <c r="N46" s="3" t="s">
        <v>425</v>
      </c>
      <c r="O46" s="3" t="s">
        <v>58</v>
      </c>
      <c r="P46" s="2" t="s">
        <v>35</v>
      </c>
      <c r="Q46" s="7" t="s">
        <v>426</v>
      </c>
      <c r="R46" s="7"/>
      <c r="S46" s="7"/>
    </row>
    <row r="47" spans="1:19" ht="88.7" customHeight="1">
      <c r="A47" s="2">
        <v>43</v>
      </c>
      <c r="B47" s="3" t="s">
        <v>427</v>
      </c>
      <c r="C47" s="2" t="s">
        <v>400</v>
      </c>
      <c r="D47" s="3" t="s">
        <v>428</v>
      </c>
      <c r="E47" s="4" t="s">
        <v>429</v>
      </c>
      <c r="F47" s="9" t="s">
        <v>51</v>
      </c>
      <c r="G47" s="3" t="s">
        <v>430</v>
      </c>
      <c r="H47" s="2" t="s">
        <v>176</v>
      </c>
      <c r="I47" s="3"/>
      <c r="J47" s="3"/>
      <c r="K47" s="3" t="s">
        <v>431</v>
      </c>
      <c r="L47" s="3" t="s">
        <v>432</v>
      </c>
      <c r="M47" s="3" t="s">
        <v>433</v>
      </c>
      <c r="N47" s="3" t="s">
        <v>425</v>
      </c>
      <c r="O47" s="3" t="s">
        <v>434</v>
      </c>
      <c r="P47" s="2" t="s">
        <v>35</v>
      </c>
      <c r="Q47" s="7" t="s">
        <v>435</v>
      </c>
      <c r="R47" s="7"/>
      <c r="S47" s="7"/>
    </row>
    <row r="48" spans="1:19" ht="45" customHeight="1">
      <c r="A48" s="2">
        <v>44</v>
      </c>
      <c r="B48" s="3" t="s">
        <v>436</v>
      </c>
      <c r="C48" s="2" t="s">
        <v>400</v>
      </c>
      <c r="D48" s="3" t="s">
        <v>437</v>
      </c>
      <c r="E48" s="4" t="s">
        <v>438</v>
      </c>
      <c r="F48" s="5" t="s">
        <v>25</v>
      </c>
      <c r="G48" s="3" t="s">
        <v>439</v>
      </c>
      <c r="H48" s="2" t="s">
        <v>176</v>
      </c>
      <c r="I48" s="3"/>
      <c r="J48" s="3"/>
      <c r="K48" s="3" t="s">
        <v>440</v>
      </c>
      <c r="L48" s="3" t="s">
        <v>441</v>
      </c>
      <c r="M48" s="3" t="s">
        <v>442</v>
      </c>
      <c r="N48" s="3" t="s">
        <v>443</v>
      </c>
      <c r="O48" s="3" t="s">
        <v>444</v>
      </c>
      <c r="P48" s="2" t="s">
        <v>35</v>
      </c>
      <c r="Q48" s="7" t="s">
        <v>445</v>
      </c>
      <c r="R48" s="7"/>
      <c r="S48" s="7"/>
    </row>
    <row r="49" spans="1:19" ht="45" customHeight="1">
      <c r="A49" s="2">
        <v>45</v>
      </c>
      <c r="B49" s="3" t="s">
        <v>446</v>
      </c>
      <c r="C49" s="2" t="s">
        <v>400</v>
      </c>
      <c r="D49" s="3" t="s">
        <v>447</v>
      </c>
      <c r="E49" s="4" t="s">
        <v>448</v>
      </c>
      <c r="F49" s="5" t="s">
        <v>25</v>
      </c>
      <c r="G49" s="3" t="s">
        <v>449</v>
      </c>
      <c r="H49" s="2" t="s">
        <v>176</v>
      </c>
      <c r="I49" s="3"/>
      <c r="J49" s="3"/>
      <c r="K49" s="3" t="s">
        <v>450</v>
      </c>
      <c r="L49" s="3" t="s">
        <v>451</v>
      </c>
      <c r="M49" s="3" t="s">
        <v>452</v>
      </c>
      <c r="N49" s="3" t="s">
        <v>453</v>
      </c>
      <c r="O49" s="3" t="s">
        <v>454</v>
      </c>
      <c r="P49" s="2" t="s">
        <v>35</v>
      </c>
      <c r="Q49" s="7" t="s">
        <v>455</v>
      </c>
      <c r="R49" s="7"/>
      <c r="S49" s="7"/>
    </row>
    <row r="50" spans="1:19" ht="59.65" customHeight="1">
      <c r="A50" s="2">
        <v>46</v>
      </c>
      <c r="B50" s="3" t="s">
        <v>456</v>
      </c>
      <c r="C50" s="2" t="s">
        <v>400</v>
      </c>
      <c r="D50" s="3" t="s">
        <v>457</v>
      </c>
      <c r="E50" s="4" t="s">
        <v>458</v>
      </c>
      <c r="F50" s="9" t="s">
        <v>51</v>
      </c>
      <c r="G50" s="3" t="s">
        <v>459</v>
      </c>
      <c r="H50" s="2" t="s">
        <v>176</v>
      </c>
      <c r="I50" s="3"/>
      <c r="J50" s="3"/>
      <c r="K50" s="3" t="s">
        <v>460</v>
      </c>
      <c r="L50" s="3" t="s">
        <v>461</v>
      </c>
      <c r="M50" s="3" t="s">
        <v>462</v>
      </c>
      <c r="N50" s="3" t="s">
        <v>463</v>
      </c>
      <c r="O50" s="3" t="s">
        <v>464</v>
      </c>
      <c r="P50" s="2" t="s">
        <v>35</v>
      </c>
      <c r="Q50" s="7" t="s">
        <v>465</v>
      </c>
      <c r="R50" s="7"/>
      <c r="S50" s="7"/>
    </row>
    <row r="51" spans="1:19" ht="57.4" customHeight="1">
      <c r="A51" s="2">
        <v>47</v>
      </c>
      <c r="B51" s="3" t="s">
        <v>466</v>
      </c>
      <c r="C51" s="2" t="s">
        <v>400</v>
      </c>
      <c r="D51" s="3" t="s">
        <v>467</v>
      </c>
      <c r="E51" s="4" t="s">
        <v>468</v>
      </c>
      <c r="F51" s="9" t="s">
        <v>116</v>
      </c>
      <c r="G51" s="3" t="s">
        <v>58</v>
      </c>
      <c r="H51" s="2" t="s">
        <v>176</v>
      </c>
      <c r="I51" s="3"/>
      <c r="J51" s="3"/>
      <c r="K51" s="3" t="s">
        <v>469</v>
      </c>
      <c r="L51" s="3" t="s">
        <v>470</v>
      </c>
      <c r="M51" s="3" t="s">
        <v>471</v>
      </c>
      <c r="N51" s="3" t="s">
        <v>472</v>
      </c>
      <c r="O51" s="3" t="s">
        <v>473</v>
      </c>
      <c r="P51" s="2" t="s">
        <v>35</v>
      </c>
      <c r="Q51" s="7" t="s">
        <v>474</v>
      </c>
      <c r="R51" s="7"/>
      <c r="S51" s="7"/>
    </row>
    <row r="52" spans="1:19" ht="113.85" customHeight="1">
      <c r="A52" s="2">
        <v>48</v>
      </c>
      <c r="B52" s="3" t="s">
        <v>475</v>
      </c>
      <c r="C52" s="2" t="s">
        <v>400</v>
      </c>
      <c r="D52" s="3" t="s">
        <v>476</v>
      </c>
      <c r="E52" s="4" t="s">
        <v>477</v>
      </c>
      <c r="F52" s="11" t="s">
        <v>263</v>
      </c>
      <c r="G52" s="3" t="s">
        <v>58</v>
      </c>
      <c r="H52" s="2" t="s">
        <v>176</v>
      </c>
      <c r="I52" s="3"/>
      <c r="J52" s="3"/>
      <c r="K52" s="3" t="s">
        <v>478</v>
      </c>
      <c r="L52" s="3" t="s">
        <v>479</v>
      </c>
      <c r="M52" s="3" t="s">
        <v>480</v>
      </c>
      <c r="N52" s="3" t="s">
        <v>481</v>
      </c>
      <c r="O52" s="3" t="s">
        <v>482</v>
      </c>
      <c r="P52" s="2" t="s">
        <v>35</v>
      </c>
      <c r="Q52" s="7" t="s">
        <v>483</v>
      </c>
      <c r="R52" s="7"/>
      <c r="S52" s="7"/>
    </row>
    <row r="53" spans="1:19" ht="102.75" customHeight="1">
      <c r="A53" s="2">
        <v>49</v>
      </c>
      <c r="B53" s="3" t="s">
        <v>484</v>
      </c>
      <c r="C53" s="2" t="s">
        <v>400</v>
      </c>
      <c r="D53" s="3" t="s">
        <v>485</v>
      </c>
      <c r="E53" s="4" t="s">
        <v>486</v>
      </c>
      <c r="F53" s="5" t="s">
        <v>299</v>
      </c>
      <c r="G53" s="3" t="s">
        <v>58</v>
      </c>
      <c r="H53" s="12" t="s">
        <v>300</v>
      </c>
      <c r="I53" s="3"/>
      <c r="J53" s="3"/>
      <c r="K53" s="3" t="s">
        <v>487</v>
      </c>
      <c r="L53" s="3" t="s">
        <v>488</v>
      </c>
      <c r="M53" s="3" t="s">
        <v>489</v>
      </c>
      <c r="N53" s="3" t="s">
        <v>407</v>
      </c>
      <c r="O53" s="3" t="s">
        <v>490</v>
      </c>
      <c r="P53" s="2" t="s">
        <v>35</v>
      </c>
      <c r="Q53" s="7" t="s">
        <v>491</v>
      </c>
      <c r="R53" s="7"/>
      <c r="S53" s="7"/>
    </row>
  </sheetData>
  <autoFilter ref="A4:S53" xr:uid="{00000000-0009-0000-0000-000000000000}"/>
  <mergeCells count="2">
    <mergeCell ref="A2:S2"/>
    <mergeCell ref="A1:S1"/>
  </mergeCells>
  <dataValidations count="1">
    <dataValidation type="list" sqref="P5:P53" xr:uid="{00000000-0002-0000-0000-000000000000}">
      <formula1>"Open,Answered,Closed,Out-scope"</formula1>
    </dataValidation>
  </dataValidation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5"/>
  <cols>
    <col min="1" max="1" width="12" customWidth="1"/>
    <col min="2" max="2" width="8" customWidth="1"/>
    <col min="3" max="3" width="40" customWidth="1"/>
    <col min="4" max="4" width="45" customWidth="1"/>
    <col min="5" max="5" width="90" customWidth="1"/>
  </cols>
  <sheetData>
    <row r="1" spans="1:5">
      <c r="A1" s="13" t="s">
        <v>492</v>
      </c>
    </row>
    <row r="3" spans="1:5">
      <c r="A3" s="14" t="s">
        <v>3</v>
      </c>
      <c r="B3" s="14" t="s">
        <v>4</v>
      </c>
      <c r="C3" s="14" t="s">
        <v>493</v>
      </c>
      <c r="D3" s="14" t="s">
        <v>10</v>
      </c>
      <c r="E3" s="14" t="s">
        <v>494</v>
      </c>
    </row>
    <row r="4" spans="1:5" ht="76.7" customHeight="1">
      <c r="A4" s="15" t="s">
        <v>495</v>
      </c>
      <c r="B4" s="15" t="s">
        <v>22</v>
      </c>
      <c r="C4" s="15" t="s">
        <v>496</v>
      </c>
      <c r="D4" s="15" t="s">
        <v>497</v>
      </c>
      <c r="E4" s="15" t="s">
        <v>498</v>
      </c>
    </row>
    <row r="5" spans="1:5" ht="50.65" customHeight="1">
      <c r="A5" s="15" t="s">
        <v>499</v>
      </c>
      <c r="B5" s="15" t="s">
        <v>22</v>
      </c>
      <c r="C5" s="15" t="s">
        <v>500</v>
      </c>
      <c r="D5" s="15" t="s">
        <v>501</v>
      </c>
      <c r="E5" s="15" t="s">
        <v>502</v>
      </c>
    </row>
    <row r="6" spans="1:5" ht="72.599999999999994" customHeight="1">
      <c r="A6" s="15" t="s">
        <v>503</v>
      </c>
      <c r="B6" s="15" t="s">
        <v>22</v>
      </c>
      <c r="C6" s="15" t="s">
        <v>504</v>
      </c>
      <c r="D6" s="15" t="s">
        <v>505</v>
      </c>
      <c r="E6" s="15" t="s">
        <v>506</v>
      </c>
    </row>
    <row r="7" spans="1:5" ht="64.5" customHeight="1">
      <c r="A7" s="15" t="s">
        <v>507</v>
      </c>
      <c r="B7" s="15" t="s">
        <v>22</v>
      </c>
      <c r="C7" s="15" t="s">
        <v>508</v>
      </c>
      <c r="D7" s="15" t="s">
        <v>509</v>
      </c>
      <c r="E7" s="15" t="s">
        <v>510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workbookViewId="0"/>
  </sheetViews>
  <sheetFormatPr defaultRowHeight="15"/>
  <cols>
    <col min="1" max="1" width="10" customWidth="1"/>
    <col min="2" max="2" width="40" customWidth="1"/>
    <col min="3" max="4" width="11" customWidth="1"/>
    <col min="5" max="5" width="12" customWidth="1"/>
    <col min="6" max="6" width="14" customWidth="1"/>
    <col min="7" max="7" width="12" customWidth="1"/>
    <col min="8" max="8" width="8" customWidth="1"/>
    <col min="9" max="9" width="12" customWidth="1"/>
  </cols>
  <sheetData>
    <row r="1" spans="1:9">
      <c r="A1" s="16" t="s">
        <v>511</v>
      </c>
    </row>
    <row r="3" spans="1:9">
      <c r="A3" s="14" t="s">
        <v>4</v>
      </c>
      <c r="B3" s="14" t="s">
        <v>512</v>
      </c>
      <c r="C3" s="14" t="s">
        <v>513</v>
      </c>
      <c r="D3" s="14" t="s">
        <v>195</v>
      </c>
      <c r="E3" s="14" t="s">
        <v>40</v>
      </c>
      <c r="F3" s="14" t="s">
        <v>27</v>
      </c>
      <c r="G3" s="14" t="s">
        <v>176</v>
      </c>
      <c r="H3" s="14" t="s">
        <v>514</v>
      </c>
      <c r="I3" s="14" t="s">
        <v>515</v>
      </c>
    </row>
    <row r="4" spans="1:9">
      <c r="A4" s="17" t="s">
        <v>22</v>
      </c>
      <c r="B4" s="17" t="s">
        <v>516</v>
      </c>
      <c r="C4" s="17">
        <f>COUNTIF('Câu hỏi vòng 2'!$C$5:$C$53,A4)</f>
        <v>29</v>
      </c>
      <c r="D4" s="17">
        <f>COUNTIFS('Câu hỏi vòng 2'!$C$5:$C$53,A4,'Câu hỏi vòng 2'!$F$5:$F$53,"BLOCKING")</f>
        <v>3</v>
      </c>
      <c r="E4" s="17">
        <f>COUNTIFS('Câu hỏi vòng 2'!$C$5:$C$53,A4,'Câu hỏi vòng 2'!$H$5:$H$53,"Rõ một phần")</f>
        <v>6</v>
      </c>
      <c r="F4" s="17">
        <f>COUNTIFS('Câu hỏi vòng 2'!$C$5:$C$53,A4,'Câu hỏi vòng 2'!$H$5:$H$53,"QC đã rà*")</f>
        <v>9</v>
      </c>
      <c r="G4" s="17">
        <f>COUNTIFS('Câu hỏi vòng 2'!$C$5:$C$53,A4,'Câu hỏi vòng 2'!$H$5:$H$53,"Chưa trả lời")</f>
        <v>12</v>
      </c>
      <c r="H4" s="17">
        <f>COUNTIFS('Câu hỏi vòng 2'!$C$5:$C$53,A4,'Câu hỏi vòng 2'!$H$5:$H$53,"Mới*")</f>
        <v>2</v>
      </c>
      <c r="I4" s="17">
        <f>COUNTIF('Đã chốt vòng 1'!$B$4:$B$7,A4)</f>
        <v>4</v>
      </c>
    </row>
    <row r="5" spans="1:9">
      <c r="A5" s="17" t="s">
        <v>315</v>
      </c>
      <c r="B5" s="17" t="s">
        <v>517</v>
      </c>
      <c r="C5" s="17">
        <f>COUNTIF('Câu hỏi vòng 2'!$C$5:$C$53,A5)</f>
        <v>10</v>
      </c>
      <c r="D5" s="17">
        <f>COUNTIFS('Câu hỏi vòng 2'!$C$5:$C$53,A5,'Câu hỏi vòng 2'!$F$5:$F$53,"BLOCKING")</f>
        <v>1</v>
      </c>
      <c r="E5" s="17">
        <f>COUNTIFS('Câu hỏi vòng 2'!$C$5:$C$53,A5,'Câu hỏi vòng 2'!$H$5:$H$53,"Rõ một phần")</f>
        <v>0</v>
      </c>
      <c r="F5" s="17">
        <f>COUNTIFS('Câu hỏi vòng 2'!$C$5:$C$53,A5,'Câu hỏi vòng 2'!$H$5:$H$53,"QC đã rà*")</f>
        <v>0</v>
      </c>
      <c r="G5" s="17">
        <f>COUNTIFS('Câu hỏi vòng 2'!$C$5:$C$53,A5,'Câu hỏi vòng 2'!$H$5:$H$53,"Chưa trả lời")</f>
        <v>9</v>
      </c>
      <c r="H5" s="17">
        <f>COUNTIFS('Câu hỏi vòng 2'!$C$5:$C$53,A5,'Câu hỏi vòng 2'!$H$5:$H$53,"Mới*")</f>
        <v>1</v>
      </c>
      <c r="I5" s="17">
        <f>COUNTIF('Đã chốt vòng 1'!$B$4:$B$7,A5)</f>
        <v>0</v>
      </c>
    </row>
    <row r="6" spans="1:9">
      <c r="A6" s="17" t="s">
        <v>400</v>
      </c>
      <c r="B6" s="17" t="s">
        <v>518</v>
      </c>
      <c r="C6" s="17">
        <f>COUNTIF('Câu hỏi vòng 2'!$C$5:$C$53,A6)</f>
        <v>10</v>
      </c>
      <c r="D6" s="17">
        <f>COUNTIFS('Câu hỏi vòng 2'!$C$5:$C$53,A6,'Câu hỏi vòng 2'!$F$5:$F$53,"BLOCKING")</f>
        <v>2</v>
      </c>
      <c r="E6" s="17">
        <f>COUNTIFS('Câu hỏi vòng 2'!$C$5:$C$53,A6,'Câu hỏi vòng 2'!$H$5:$H$53,"Rõ một phần")</f>
        <v>0</v>
      </c>
      <c r="F6" s="17">
        <f>COUNTIFS('Câu hỏi vòng 2'!$C$5:$C$53,A6,'Câu hỏi vòng 2'!$H$5:$H$53,"QC đã rà*")</f>
        <v>0</v>
      </c>
      <c r="G6" s="17">
        <f>COUNTIFS('Câu hỏi vòng 2'!$C$5:$C$53,A6,'Câu hỏi vòng 2'!$H$5:$H$53,"Chưa trả lời")</f>
        <v>9</v>
      </c>
      <c r="H6" s="17">
        <f>COUNTIFS('Câu hỏi vòng 2'!$C$5:$C$53,A6,'Câu hỏi vòng 2'!$H$5:$H$53,"Mới*")</f>
        <v>1</v>
      </c>
      <c r="I6" s="17">
        <f>COUNTIF('Đã chốt vòng 1'!$B$4:$B$7,A6)</f>
        <v>0</v>
      </c>
    </row>
    <row r="7" spans="1:9">
      <c r="A7" s="18" t="s">
        <v>519</v>
      </c>
      <c r="B7" s="19"/>
      <c r="C7" s="18">
        <f>SUM(C4:C6)</f>
        <v>49</v>
      </c>
      <c r="D7" s="18">
        <f>SUM(D4:D6)</f>
        <v>6</v>
      </c>
      <c r="E7" s="18">
        <f>SUM(E4:E6)</f>
        <v>6</v>
      </c>
      <c r="F7" s="18">
        <f>SUM(F4:F6)</f>
        <v>9</v>
      </c>
      <c r="G7" s="18">
        <f>SUM(G4:G6)</f>
        <v>30</v>
      </c>
      <c r="H7" s="18">
        <f>SUM(H4:H6)</f>
        <v>4</v>
      </c>
      <c r="I7" s="18">
        <f>SUM(I4:I6)</f>
        <v>4</v>
      </c>
    </row>
    <row r="9" spans="1:9">
      <c r="A9" s="20" t="s">
        <v>520</v>
      </c>
    </row>
    <row r="10" spans="1:9">
      <c r="A10" s="21" t="s">
        <v>192</v>
      </c>
      <c r="B10" s="22" t="s">
        <v>193</v>
      </c>
    </row>
    <row r="11" spans="1:9">
      <c r="A11" s="21" t="s">
        <v>203</v>
      </c>
      <c r="B11" s="22" t="s">
        <v>204</v>
      </c>
    </row>
    <row r="12" spans="1:9">
      <c r="A12" s="21" t="s">
        <v>269</v>
      </c>
      <c r="B12" s="22" t="s">
        <v>270</v>
      </c>
    </row>
    <row r="13" spans="1:9">
      <c r="A13" s="21" t="s">
        <v>314</v>
      </c>
      <c r="B13" s="22" t="s">
        <v>316</v>
      </c>
    </row>
    <row r="14" spans="1:9">
      <c r="A14" s="21" t="s">
        <v>399</v>
      </c>
      <c r="B14" s="22" t="s">
        <v>401</v>
      </c>
    </row>
    <row r="15" spans="1:9">
      <c r="A15" s="21" t="s">
        <v>418</v>
      </c>
      <c r="B15" s="22" t="s">
        <v>419</v>
      </c>
    </row>
    <row r="17" spans="1:1">
      <c r="A17" s="23" t="s">
        <v>521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2026-10-16T07:54:41Z</dcterms:created>
  <dcterms:modified xsi:type="dcterms:W3CDTF">2026-10-19T02:10:20Z</dcterms:modified>
  <cp:category/>
  <cp:contentStatus/>
</cp:coreProperties>
</file>