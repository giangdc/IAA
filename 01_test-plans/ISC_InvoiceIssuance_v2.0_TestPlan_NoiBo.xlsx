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Guideline" sheetId="2" state="visible" r:id="rId2"/>
    <sheet xmlns:r="http://schemas.openxmlformats.org/officeDocument/2006/relationships" name="Revision History" sheetId="3" state="visible" r:id="rId3"/>
    <sheet xmlns:r="http://schemas.openxmlformats.org/officeDocument/2006/relationships" name="Tổng quan &amp; Scope" sheetId="4" state="visible" r:id="rId4"/>
    <sheet xmlns:r="http://schemas.openxmlformats.org/officeDocument/2006/relationships" name="Plan" sheetId="5" state="visible" r:id="rId5"/>
    <sheet xmlns:r="http://schemas.openxmlformats.org/officeDocument/2006/relationships" name="Rủi ro" sheetId="6" state="visible" r:id="rId6"/>
    <sheet xmlns:r="http://schemas.openxmlformats.org/officeDocument/2006/relationships" name="Test Strategy &amp; Đặc tả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d\/m\/yy"/>
    <numFmt numFmtId="166" formatCode="DD/MM/YYYY"/>
    <numFmt numFmtId="167" formatCode="DD/MM"/>
    <numFmt numFmtId="168" formatCode="0&quot; ngày&quot;"/>
    <numFmt numFmtId="169" formatCode="yyyy-mm-dd"/>
  </numFmts>
  <fonts count="41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ED7D31"/>
      <sz val="28"/>
    </font>
    <font>
      <name val="Arial"/>
      <b val="1"/>
      <color rgb="FF1F1F1F"/>
      <sz val="34"/>
    </font>
    <font>
      <name val="Arial"/>
      <color rgb="FF2F5496"/>
      <sz val="13"/>
    </font>
    <font>
      <name val="Arial"/>
      <b val="1"/>
      <color rgb="FFFFFFFF"/>
      <sz val="11"/>
    </font>
    <font/>
    <font>
      <name val="Arial"/>
      <b val="1"/>
      <color rgb="FF2F5496"/>
      <sz val="11"/>
    </font>
    <font>
      <name val="Arial"/>
      <i val="1"/>
      <color rgb="FF404040"/>
      <sz val="9"/>
    </font>
    <font>
      <name val="Arial"/>
      <b val="1"/>
      <color rgb="FFFFFFFF"/>
      <sz val="15"/>
    </font>
    <font>
      <name val="Arial"/>
      <b val="1"/>
      <color rgb="FFFFFFFF"/>
      <sz val="12"/>
    </font>
    <font>
      <name val="Arial"/>
      <b val="1"/>
      <color rgb="FF1F1F1F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1F1F1F"/>
      <sz val="9"/>
    </font>
    <font>
      <name val="Arial"/>
      <color rgb="FF000000"/>
      <sz val="9"/>
    </font>
    <font>
      <name val="Arial"/>
      <color rgb="FF1F1F1F"/>
      <sz val="9"/>
    </font>
    <font>
      <name val="Arial"/>
      <b val="1"/>
      <color rgb="FFFFFFFF"/>
      <sz val="9"/>
    </font>
    <font>
      <name val="Arial"/>
      <b val="1"/>
      <color rgb="FF1F4E79"/>
      <sz val="10"/>
    </font>
    <font>
      <name val="Arial"/>
      <b val="1"/>
      <color rgb="FF1F4E79"/>
      <sz val="9"/>
    </font>
    <font>
      <name val="Arial"/>
      <color theme="1"/>
      <sz val="11"/>
    </font>
    <font>
      <name val="Arial"/>
      <i val="1"/>
      <color rgb="FF808080"/>
      <sz val="10"/>
    </font>
    <font>
      <name val="Arial"/>
      <b val="1"/>
      <color rgb="FF1F4E79"/>
      <sz val="11"/>
    </font>
    <font>
      <name val="Arial"/>
      <color rgb="FF1F6E7B"/>
      <sz val="9"/>
    </font>
    <font>
      <name val="Arial"/>
      <b val="1"/>
      <color rgb="FFFFFFFF"/>
      <sz val="8"/>
    </font>
    <font>
      <name val="Arial"/>
      <b val="1"/>
      <color rgb="FF404040"/>
      <sz val="8"/>
    </font>
    <font>
      <name val="Arial"/>
      <b val="1"/>
      <color rgb="FF000000"/>
      <sz val="9"/>
    </font>
    <font>
      <name val="Arial"/>
      <color theme="1"/>
      <sz val="9"/>
    </font>
    <font>
      <name val="Arial"/>
      <color rgb="FF1F1F1F"/>
      <sz val="10"/>
    </font>
    <font>
      <name val="Arial"/>
      <b val="1"/>
      <color rgb="FFC00000"/>
      <sz val="9"/>
    </font>
    <font>
      <name val="Arial"/>
      <b val="1"/>
      <color rgb="FFF17435"/>
      <sz val="9"/>
    </font>
    <font>
      <name val="Arial"/>
      <color rgb="FFFFFFFF"/>
      <sz val="9"/>
    </font>
    <font>
      <name val="Arial"/>
      <b val="1"/>
      <color rgb="FF000000"/>
      <sz val="10"/>
    </font>
    <font>
      <name val="Arial"/>
      <i val="1"/>
      <color rgb="FF1F6E7B"/>
      <sz val="9"/>
    </font>
    <font>
      <name val="Arial"/>
      <i val="1"/>
      <color rgb="FF404040"/>
      <sz val="8"/>
    </font>
    <font>
      <name val="Arial"/>
      <b val="1"/>
      <color rgb="FFFFFFFF"/>
    </font>
    <font>
      <name val="Calibri"/>
      <color theme="1"/>
      <sz val="9"/>
    </font>
    <font>
      <name val="Arial"/>
      <b val="1"/>
      <color theme="1"/>
      <sz val="9"/>
    </font>
    <font>
      <name val="Arial"/>
      <i val="1"/>
      <color rgb="FF808080"/>
      <sz val="9"/>
    </font>
    <font>
      <name val="Arial"/>
      <color theme="1"/>
    </font>
    <font>
      <b val="1"/>
      <color rgb="FF1F1F1F"/>
    </font>
  </fonts>
  <fills count="2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1F6E7B"/>
        <bgColor rgb="FF1F6E7B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F17435"/>
        <bgColor rgb="FFF17435"/>
      </patternFill>
    </fill>
    <fill>
      <patternFill patternType="solid">
        <fgColor rgb="FFF4B9B9"/>
        <bgColor rgb="FFF4B9B9"/>
      </patternFill>
    </fill>
    <fill>
      <patternFill patternType="solid">
        <fgColor rgb="FFFBD9C4"/>
        <bgColor rgb="FFFBD9C4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C00000"/>
      </patternFill>
    </fill>
  </fills>
  <borders count="1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2" pivotButton="0" quotePrefix="0" xfId="0"/>
    <xf numFmtId="0" fontId="7" fillId="3" borderId="1" applyAlignment="1" pivotButton="0" quotePrefix="0" xfId="0">
      <alignment horizontal="center" vertical="center"/>
    </xf>
    <xf numFmtId="0" fontId="6" fillId="0" borderId="3" pivotButton="0" quotePrefix="0" xfId="0"/>
    <xf numFmtId="164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left" vertical="center"/>
    </xf>
    <xf numFmtId="0" fontId="6" fillId="0" borderId="5" pivotButton="0" quotePrefix="0" xfId="0"/>
    <xf numFmtId="0" fontId="8" fillId="0" borderId="0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14" fillId="8" borderId="6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5" fillId="0" borderId="6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5" fillId="0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7" fillId="7" borderId="6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64" fontId="18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17" fillId="2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5" fillId="10" borderId="6" applyAlignment="1" pivotButton="0" quotePrefix="0" xfId="0">
      <alignment horizontal="center"/>
    </xf>
    <xf numFmtId="165" fontId="20" fillId="3" borderId="1" applyAlignment="1" pivotButton="0" quotePrefix="0" xfId="0">
      <alignment horizontal="center" wrapText="1"/>
    </xf>
    <xf numFmtId="164" fontId="20" fillId="3" borderId="6" applyAlignment="1" pivotButton="0" quotePrefix="0" xfId="0">
      <alignment horizontal="center" vertical="bottom"/>
    </xf>
    <xf numFmtId="0" fontId="20" fillId="3" borderId="6" applyAlignment="1" pivotButton="0" quotePrefix="0" xfId="0">
      <alignment horizontal="center" vertical="bottom"/>
    </xf>
    <xf numFmtId="0" fontId="20" fillId="3" borderId="6" applyAlignment="1" pivotButton="0" quotePrefix="0" xfId="0">
      <alignment vertical="bottom"/>
    </xf>
    <xf numFmtId="0" fontId="20" fillId="3" borderId="6" applyAlignment="1" pivotButton="0" quotePrefix="0" xfId="0">
      <alignment vertical="top"/>
    </xf>
    <xf numFmtId="0" fontId="21" fillId="0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1" fillId="8" borderId="6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/>
    </xf>
    <xf numFmtId="0" fontId="22" fillId="9" borderId="1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22" fillId="9" borderId="6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166" fontId="22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164" fontId="22" fillId="0" borderId="1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center" vertical="center" wrapText="1"/>
    </xf>
    <xf numFmtId="0" fontId="24" fillId="2" borderId="4" applyAlignment="1" pivotButton="0" quotePrefix="0" xfId="0">
      <alignment horizontal="left" vertical="center"/>
    </xf>
    <xf numFmtId="0" fontId="17" fillId="2" borderId="6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left" vertical="center" wrapText="1"/>
    </xf>
    <xf numFmtId="167" fontId="25" fillId="6" borderId="6" applyAlignment="1" pivotButton="0" quotePrefix="0" xfId="0">
      <alignment horizontal="center" vertical="center" textRotation="90"/>
    </xf>
    <xf numFmtId="167" fontId="25" fillId="0" borderId="6" applyAlignment="1" pivotButton="0" quotePrefix="0" xfId="0">
      <alignment horizontal="center" vertical="center" textRotation="90"/>
    </xf>
    <xf numFmtId="0" fontId="15" fillId="12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left" vertical="center"/>
    </xf>
    <xf numFmtId="0" fontId="26" fillId="12" borderId="6" applyAlignment="1" pivotButton="0" quotePrefix="0" xfId="0">
      <alignment horizontal="center" vertical="center"/>
    </xf>
    <xf numFmtId="0" fontId="27" fillId="12" borderId="6" applyAlignment="1" pivotButton="0" quotePrefix="0" xfId="0">
      <alignment horizontal="left" vertical="center"/>
    </xf>
    <xf numFmtId="9" fontId="14" fillId="12" borderId="6" applyAlignment="1" pivotButton="0" quotePrefix="0" xfId="0">
      <alignment horizontal="center" vertical="center"/>
    </xf>
    <xf numFmtId="164" fontId="14" fillId="12" borderId="6" applyAlignment="1" pivotButton="0" quotePrefix="0" xfId="0">
      <alignment horizontal="center" vertical="center"/>
    </xf>
    <xf numFmtId="166" fontId="14" fillId="12" borderId="6" applyAlignment="1" pivotButton="0" quotePrefix="0" xfId="0">
      <alignment horizontal="center" vertical="center"/>
    </xf>
    <xf numFmtId="168" fontId="26" fillId="12" borderId="6" applyAlignment="1" pivotButton="0" quotePrefix="0" xfId="0">
      <alignment horizontal="center" vertical="center"/>
    </xf>
    <xf numFmtId="0" fontId="26" fillId="12" borderId="6" applyAlignment="1" pivotButton="0" quotePrefix="0" xfId="0">
      <alignment horizontal="left" vertical="center" wrapText="1"/>
    </xf>
    <xf numFmtId="0" fontId="1" fillId="4" borderId="6" pivotButton="0" quotePrefix="0" xfId="0"/>
    <xf numFmtId="0" fontId="1" fillId="13" borderId="6" pivotButton="0" quotePrefix="0" xfId="0"/>
    <xf numFmtId="0" fontId="15" fillId="14" borderId="6" applyAlignment="1" pivotButton="0" quotePrefix="0" xfId="0">
      <alignment horizontal="center" vertical="center"/>
    </xf>
    <xf numFmtId="0" fontId="11" fillId="14" borderId="6" applyAlignment="1" pivotButton="0" quotePrefix="0" xfId="0">
      <alignment horizontal="left" vertical="center"/>
    </xf>
    <xf numFmtId="0" fontId="26" fillId="14" borderId="6" applyAlignment="1" pivotButton="0" quotePrefix="0" xfId="0">
      <alignment horizontal="center" vertical="center"/>
    </xf>
    <xf numFmtId="0" fontId="27" fillId="14" borderId="6" applyAlignment="1" pivotButton="0" quotePrefix="0" xfId="0">
      <alignment horizontal="left" vertical="center"/>
    </xf>
    <xf numFmtId="9" fontId="14" fillId="14" borderId="6" applyAlignment="1" pivotButton="0" quotePrefix="0" xfId="0">
      <alignment horizontal="center" vertical="center"/>
    </xf>
    <xf numFmtId="164" fontId="14" fillId="14" borderId="6" applyAlignment="1" pivotButton="0" quotePrefix="0" xfId="0">
      <alignment horizontal="center" vertical="center"/>
    </xf>
    <xf numFmtId="166" fontId="14" fillId="14" borderId="6" applyAlignment="1" pivotButton="0" quotePrefix="0" xfId="0">
      <alignment horizontal="center" vertical="center"/>
    </xf>
    <xf numFmtId="168" fontId="26" fillId="14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left" vertical="center" wrapText="1"/>
    </xf>
    <xf numFmtId="0" fontId="1" fillId="2" borderId="6" pivotButton="0" quotePrefix="0" xfId="0"/>
    <xf numFmtId="0" fontId="1" fillId="0" borderId="6" pivotButton="0" quotePrefix="0" xfId="0"/>
    <xf numFmtId="0" fontId="1" fillId="15" borderId="6" pivotButton="0" quotePrefix="0" xfId="0"/>
    <xf numFmtId="0" fontId="15" fillId="3" borderId="6" applyAlignment="1" pivotButton="0" quotePrefix="0" xfId="0">
      <alignment horizontal="center" vertical="center"/>
    </xf>
    <xf numFmtId="0" fontId="28" fillId="3" borderId="6" applyAlignment="1" pivotButton="0" quotePrefix="0" xfId="0">
      <alignment horizontal="left" vertical="center"/>
    </xf>
    <xf numFmtId="0" fontId="29" fillId="3" borderId="6" applyAlignment="1" pivotButton="0" quotePrefix="0" xfId="0">
      <alignment horizontal="left" vertical="center"/>
    </xf>
    <xf numFmtId="9" fontId="16" fillId="6" borderId="6" applyAlignment="1" pivotButton="0" quotePrefix="0" xfId="0">
      <alignment horizontal="center" vertical="center"/>
    </xf>
    <xf numFmtId="164" fontId="16" fillId="6" borderId="6" applyAlignment="1" pivotButton="0" quotePrefix="0" xfId="0">
      <alignment horizontal="center" vertical="center"/>
    </xf>
    <xf numFmtId="166" fontId="16" fillId="6" borderId="6" applyAlignment="1" pivotButton="0" quotePrefix="0" xfId="0">
      <alignment horizontal="center" vertical="center"/>
    </xf>
    <xf numFmtId="168" fontId="15" fillId="3" borderId="6" applyAlignment="1" pivotButton="0" quotePrefix="0" xfId="0">
      <alignment horizontal="center" vertical="center"/>
    </xf>
    <xf numFmtId="0" fontId="15" fillId="3" borderId="6" applyAlignment="1" pivotButton="0" quotePrefix="0" xfId="0">
      <alignment horizontal="left" vertical="center" wrapText="1"/>
    </xf>
    <xf numFmtId="0" fontId="1" fillId="16" borderId="6" pivotButton="0" quotePrefix="0" xfId="0"/>
    <xf numFmtId="0" fontId="30" fillId="3" borderId="6" applyAlignment="1" pivotButton="0" quotePrefix="0" xfId="0">
      <alignment horizontal="left" vertical="center"/>
    </xf>
    <xf numFmtId="0" fontId="1" fillId="17" borderId="6" pivotButton="0" quotePrefix="0" xfId="0"/>
    <xf numFmtId="0" fontId="1" fillId="18" borderId="6" pivotButton="0" quotePrefix="0" xfId="0"/>
    <xf numFmtId="0" fontId="1" fillId="19" borderId="6" pivotButton="0" quotePrefix="0" xfId="0"/>
    <xf numFmtId="0" fontId="15" fillId="6" borderId="6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31" fillId="7" borderId="6" applyAlignment="1" pivotButton="0" quotePrefix="0" xfId="0">
      <alignment horizontal="center" vertical="center"/>
    </xf>
    <xf numFmtId="0" fontId="32" fillId="8" borderId="6" applyAlignment="1" pivotButton="0" quotePrefix="0" xfId="0">
      <alignment horizontal="center" vertical="center"/>
    </xf>
    <xf numFmtId="0" fontId="13" fillId="16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32" fillId="5" borderId="6" applyAlignment="1" pivotButton="0" quotePrefix="0" xfId="0">
      <alignment horizontal="center" vertical="center"/>
    </xf>
    <xf numFmtId="0" fontId="13" fillId="17" borderId="6" applyAlignment="1" pivotButton="0" quotePrefix="0" xfId="0">
      <alignment horizontal="center" vertical="center"/>
    </xf>
    <xf numFmtId="0" fontId="13" fillId="20" borderId="6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0" fontId="31" fillId="7" borderId="6" applyAlignment="1" pivotButton="0" quotePrefix="0" xfId="0">
      <alignment horizontal="center" vertical="center" wrapText="1"/>
    </xf>
    <xf numFmtId="0" fontId="31" fillId="7" borderId="6" applyAlignment="1" pivotButton="0" quotePrefix="0" xfId="0">
      <alignment horizontal="left" vertical="center" wrapText="1"/>
    </xf>
    <xf numFmtId="0" fontId="15" fillId="0" borderId="6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17" fillId="7" borderId="6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9" fontId="23" fillId="0" borderId="6" applyAlignment="1" pivotButton="0" quotePrefix="0" xfId="0">
      <alignment horizontal="center" vertical="center"/>
    </xf>
    <xf numFmtId="2" fontId="15" fillId="0" borderId="6" applyAlignment="1" pivotButton="0" quotePrefix="0" xfId="0">
      <alignment horizontal="center" vertical="center"/>
    </xf>
    <xf numFmtId="164" fontId="19" fillId="9" borderId="6" applyAlignment="1" pivotButton="0" quotePrefix="0" xfId="0">
      <alignment horizontal="center" vertical="center"/>
    </xf>
    <xf numFmtId="0" fontId="12" fillId="9" borderId="6" applyAlignment="1" pivotButton="0" quotePrefix="0" xfId="0">
      <alignment vertical="center"/>
    </xf>
    <xf numFmtId="2" fontId="18" fillId="9" borderId="6" applyAlignment="1" pivotButton="0" quotePrefix="0" xfId="0">
      <alignment horizontal="center" vertical="center"/>
    </xf>
    <xf numFmtId="0" fontId="34" fillId="9" borderId="1" applyAlignment="1" pivotButton="0" quotePrefix="0" xfId="0">
      <alignment horizontal="left" vertical="center"/>
    </xf>
    <xf numFmtId="0" fontId="35" fillId="4" borderId="7" applyAlignment="1" pivotButton="0" quotePrefix="0" xfId="0">
      <alignment horizontal="center" vertical="center" wrapText="1"/>
    </xf>
    <xf numFmtId="0" fontId="6" fillId="0" borderId="8" pivotButton="0" quotePrefix="0" xfId="0"/>
    <xf numFmtId="0" fontId="6" fillId="0" borderId="9" pivotButton="0" quotePrefix="0" xfId="0"/>
    <xf numFmtId="0" fontId="36" fillId="0" borderId="0" pivotButton="0" quotePrefix="0" xfId="0"/>
    <xf numFmtId="0" fontId="37" fillId="0" borderId="7" applyAlignment="1" pivotButton="0" quotePrefix="0" xfId="0">
      <alignment horizontal="left" vertical="center" wrapText="1"/>
    </xf>
    <xf numFmtId="9" fontId="29" fillId="6" borderId="10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0" pivotButton="0" quotePrefix="0" xfId="0"/>
    <xf numFmtId="0" fontId="13" fillId="7" borderId="1" applyAlignment="1" pivotButton="0" quotePrefix="0" xfId="0">
      <alignment horizontal="center" vertical="center" wrapText="1"/>
    </xf>
    <xf numFmtId="0" fontId="37" fillId="8" borderId="7" applyAlignment="1" pivotButton="0" quotePrefix="0" xfId="0">
      <alignment horizontal="center" vertical="center" wrapText="1"/>
    </xf>
    <xf numFmtId="0" fontId="37" fillId="8" borderId="10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left" vertical="center" wrapText="1"/>
    </xf>
    <xf numFmtId="0" fontId="27" fillId="0" borderId="10" applyAlignment="1" pivotButton="0" quotePrefix="0" xfId="0">
      <alignment horizontal="center" vertical="center" wrapText="1"/>
    </xf>
    <xf numFmtId="0" fontId="27" fillId="0" borderId="0" pivotButton="0" quotePrefix="0" xfId="0"/>
    <xf numFmtId="0" fontId="0" fillId="0" borderId="0" pivotButton="0" quotePrefix="0" xfId="0"/>
    <xf numFmtId="0" fontId="5" fillId="2" borderId="6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6" applyAlignment="1" pivotButton="0" quotePrefix="0" xfId="0">
      <alignment horizontal="center" vertical="center"/>
    </xf>
    <xf numFmtId="0" fontId="0" fillId="0" borderId="3" pivotButton="0" quotePrefix="0" xfId="0"/>
    <xf numFmtId="164" fontId="7" fillId="3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 wrapText="1"/>
    </xf>
    <xf numFmtId="0" fontId="11" fillId="6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left" vertical="center"/>
    </xf>
    <xf numFmtId="0" fontId="14" fillId="8" borderId="6" applyAlignment="1" pivotButton="0" quotePrefix="0" xfId="0">
      <alignment horizontal="left" vertical="center"/>
    </xf>
    <xf numFmtId="0" fontId="14" fillId="9" borderId="6" applyAlignment="1" pivotButton="0" quotePrefix="0" xfId="0">
      <alignment horizontal="center" vertical="center"/>
    </xf>
    <xf numFmtId="0" fontId="17" fillId="2" borderId="6" applyAlignment="1" pivotButton="0" quotePrefix="0" xfId="0">
      <alignment horizontal="left" vertical="center"/>
    </xf>
    <xf numFmtId="0" fontId="11" fillId="5" borderId="6" applyAlignment="1" pivotButton="0" quotePrefix="0" xfId="0">
      <alignment horizontal="left" vertical="center"/>
    </xf>
    <xf numFmtId="0" fontId="12" fillId="6" borderId="6" applyAlignment="1" pivotButton="0" quotePrefix="0" xfId="0">
      <alignment horizontal="left" vertical="center"/>
    </xf>
    <xf numFmtId="169" fontId="12" fillId="6" borderId="6" applyAlignment="1" pivotButton="0" quotePrefix="0" xfId="0">
      <alignment horizontal="left" vertical="center"/>
    </xf>
    <xf numFmtId="0" fontId="11" fillId="9" borderId="6" applyAlignment="1" pivotButton="0" quotePrefix="0" xfId="0">
      <alignment horizontal="left" vertical="center"/>
    </xf>
    <xf numFmtId="0" fontId="11" fillId="9" borderId="6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0" fontId="23" fillId="0" borderId="6" applyAlignment="1" pivotButton="0" quotePrefix="0" xfId="0">
      <alignment horizontal="left" vertical="center" wrapText="1"/>
    </xf>
    <xf numFmtId="0" fontId="12" fillId="3" borderId="6" applyAlignment="1" pivotButton="0" quotePrefix="0" xfId="0">
      <alignment horizontal="left" vertical="center" wrapText="1"/>
    </xf>
    <xf numFmtId="166" fontId="22" fillId="0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left" vertical="center" wrapText="1"/>
    </xf>
    <xf numFmtId="164" fontId="22" fillId="0" borderId="6" applyAlignment="1" pivotButton="0" quotePrefix="0" xfId="0">
      <alignment horizontal="center" vertical="center"/>
    </xf>
    <xf numFmtId="166" fontId="12" fillId="6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left" vertical="center"/>
    </xf>
    <xf numFmtId="0" fontId="22" fillId="0" borderId="6" applyAlignment="1" pivotButton="0" quotePrefix="0" xfId="0">
      <alignment horizontal="center" vertical="center" wrapText="1"/>
    </xf>
    <xf numFmtId="0" fontId="1" fillId="22" borderId="6" pivotButton="0" quotePrefix="0" xfId="0"/>
    <xf numFmtId="0" fontId="1" fillId="23" borderId="6" pivotButton="0" quotePrefix="0" xfId="0"/>
    <xf numFmtId="0" fontId="1" fillId="24" borderId="6" pivotButton="0" quotePrefix="0" xfId="0"/>
    <xf numFmtId="0" fontId="1" fillId="25" borderId="6" pivotButton="0" quotePrefix="0" xfId="0"/>
    <xf numFmtId="0" fontId="40" fillId="21" borderId="6" applyAlignment="1" pivotButton="0" quotePrefix="0" xfId="0">
      <alignment horizontal="center" vertical="center"/>
    </xf>
    <xf numFmtId="0" fontId="40" fillId="21" borderId="6" applyAlignment="1" pivotButton="0" quotePrefix="0" xfId="0">
      <alignment horizontal="left" vertical="center"/>
    </xf>
    <xf numFmtId="9" fontId="40" fillId="21" borderId="6" applyAlignment="1" pivotButton="0" quotePrefix="0" xfId="0">
      <alignment horizontal="center" vertical="center"/>
    </xf>
    <xf numFmtId="164" fontId="40" fillId="21" borderId="6" applyAlignment="1" pivotButton="0" quotePrefix="0" xfId="0">
      <alignment horizontal="center" vertical="center"/>
    </xf>
    <xf numFmtId="166" fontId="40" fillId="21" borderId="6" applyAlignment="1" pivotButton="0" quotePrefix="0" xfId="0">
      <alignment horizontal="center" vertical="center"/>
    </xf>
    <xf numFmtId="168" fontId="40" fillId="21" borderId="6" applyAlignment="1" pivotButton="0" quotePrefix="0" xfId="0">
      <alignment horizontal="center" vertical="center"/>
    </xf>
    <xf numFmtId="0" fontId="40" fillId="21" borderId="6" applyAlignment="1" pivotButton="0" quotePrefix="0" xfId="0">
      <alignment horizontal="left" vertical="center" wrapText="1"/>
    </xf>
    <xf numFmtId="0" fontId="40" fillId="21" borderId="0" pivotButton="0" quotePrefix="0" xfId="0"/>
    <xf numFmtId="0" fontId="40" fillId="0" borderId="6" pivotButton="0" quotePrefix="0" xfId="0"/>
    <xf numFmtId="0" fontId="40" fillId="23" borderId="6" pivotButton="0" quotePrefix="0" xfId="0"/>
    <xf numFmtId="0" fontId="40" fillId="24" borderId="6" pivotButton="0" quotePrefix="0" xfId="0"/>
    <xf numFmtId="0" fontId="31" fillId="0" borderId="6" applyAlignment="1" pivotButton="0" quotePrefix="0" xfId="0">
      <alignment horizontal="center" vertical="center"/>
    </xf>
    <xf numFmtId="0" fontId="34" fillId="9" borderId="6" applyAlignment="1" pivotButton="0" quotePrefix="0" xfId="0">
      <alignment horizontal="left" vertical="center"/>
    </xf>
    <xf numFmtId="0" fontId="35" fillId="4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37" fillId="0" borderId="10" applyAlignment="1" pivotButton="0" quotePrefix="0" xfId="0">
      <alignment horizontal="left" vertical="center" wrapText="1"/>
    </xf>
    <xf numFmtId="0" fontId="38" fillId="0" borderId="10" applyAlignment="1" pivotButton="0" quotePrefix="0" xfId="0">
      <alignment horizontal="left" vertical="center" wrapText="1"/>
    </xf>
    <xf numFmtId="0" fontId="13" fillId="7" borderId="6" applyAlignment="1" pivotButton="0" quotePrefix="0" xfId="0">
      <alignment horizontal="center" vertical="center" wrapText="1"/>
    </xf>
    <xf numFmtId="0" fontId="27" fillId="0" borderId="1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1304925"/>
    <pic>
      <nvPicPr>
        <cNvPr id="0" name="image1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1304925"/>
    <pic>
      <nvPicPr>
        <cNvPr id="0" name="image1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21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14" customWidth="1" style="149" min="2" max="4"/>
    <col width="20" customWidth="1" style="149" min="5" max="5"/>
    <col width="14" customWidth="1" style="149" min="6" max="6"/>
    <col width="18" customWidth="1" style="149" min="7" max="7"/>
  </cols>
  <sheetData>
    <row r="1" ht="15.75" customHeight="1" s="14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4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49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4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14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4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149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149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14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14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9.75" customHeight="1" s="149">
      <c r="A12" s="1" t="n"/>
      <c r="B12" s="2" t="inlineStr">
        <is>
          <t>Invoice Issuance Architecture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5.75" customHeight="1" s="149">
      <c r="A14" s="1" t="n"/>
      <c r="B14" s="3" t="inlineStr">
        <is>
          <t>TEST PLAN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 s="149">
      <c r="A15" s="1" t="n"/>
      <c r="B15" s="4" t="inlineStr">
        <is>
          <t>Kế hoạch kiểm thử — quy trình SDLC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149">
      <c r="A18" s="1" t="n"/>
      <c r="B18" s="1" t="n"/>
      <c r="C18" s="150" t="inlineStr">
        <is>
          <t>Mã hiệu</t>
        </is>
      </c>
      <c r="D18" s="151" t="n"/>
      <c r="E18" s="152" t="inlineStr">
        <is>
          <t>10.0-BM/VH/HDCV/ISC</t>
        </is>
      </c>
      <c r="F18" s="153" t="n"/>
      <c r="G18" s="15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" customHeight="1" s="149">
      <c r="A19" s="1" t="n"/>
      <c r="B19" s="1" t="n"/>
      <c r="C19" s="150" t="inlineStr">
        <is>
          <t>Phiên bản</t>
        </is>
      </c>
      <c r="D19" s="151" t="n"/>
      <c r="E19" s="154" t="inlineStr">
        <is>
          <t>v2.0</t>
        </is>
      </c>
      <c r="F19" s="153" t="n"/>
      <c r="G19" s="15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4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30" customHeight="1" s="149">
      <c r="A21" s="1" t="n"/>
      <c r="C21" s="10" t="inlineStr">
        <is>
          <t>Sheet: Guideline · Revision History · Tổng quan &amp; Scope · Plan · Rủi ro · Test Strategy &amp; Đặc tả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9">
      <c r="A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8">
    <mergeCell ref="C21:G21"/>
    <mergeCell ref="E19:G19"/>
    <mergeCell ref="B14:G14"/>
    <mergeCell ref="C19:D19"/>
    <mergeCell ref="E18:G18"/>
    <mergeCell ref="B12:G12"/>
    <mergeCell ref="C18:D18"/>
    <mergeCell ref="B15:G15"/>
  </mergeCells>
  <pageMargins left="0.4" right="0.4" top="1" bottom="1" header="0" footer="0"/>
  <pageSetup orientation="portrait" fitToHeight="0"/>
  <headerFooter>
    <oddHeader/>
    <oddFooter>&amp;CFPT Telecom — Lưu hành nội bộ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63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8" customWidth="1" style="149" min="2" max="2"/>
    <col width="22" customWidth="1" style="149" min="3" max="3"/>
    <col width="26" customWidth="1" style="149" min="4" max="4"/>
    <col width="13" customWidth="1" style="149" min="5" max="7"/>
    <col width="11" customWidth="1" style="149" min="8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>HƯỚNG DẪN SỬ DỤNG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inlineStr">
        <is>
          <t>Điền ô MÀU VÀNG; ô trắng/công thức tự tính. Bản gọn theo chuẩn Master Plan; kèm WBS chuẩn &amp; ma trận RACI để tham chiếu.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149">
      <c r="A5" s="1" t="n"/>
      <c r="B5" s="14" t="inlineStr">
        <is>
          <t>LUỒNG SỬ DỤNG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" customHeight="1" s="149">
      <c r="A6" s="1" t="n"/>
      <c r="B6" s="155" t="inlineStr">
        <is>
          <t>1. Tổng quan &amp; Scope</t>
        </is>
      </c>
      <c r="C6" s="151" t="n"/>
      <c r="D6" s="52" t="inlineStr">
        <is>
          <t>Thông tin dự án, trạng thái tài liệu (Final/Draft + ngày chốt), hệ thống liên kết, In/Out scope, Input/Output cần, SDLC áp dụng.</t>
        </is>
      </c>
      <c r="E6" s="153" t="n"/>
      <c r="F6" s="153" t="n"/>
      <c r="G6" s="153" t="n"/>
      <c r="H6" s="153" t="n"/>
      <c r="I6" s="153" t="n"/>
      <c r="J6" s="15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0" customHeight="1" s="149">
      <c r="A7" s="1" t="n"/>
      <c r="B7" s="155" t="inlineStr">
        <is>
          <t>2. Plan</t>
        </is>
      </c>
      <c r="C7" s="151" t="n"/>
      <c r="D7" s="52" t="inlineStr">
        <is>
          <t>Sheet lõi: cây Round ▸ công việc + PIC, %Done, effort (ngày công), ngày, thanh Gantt; đầu sheet có KẾT LUẬN test có đáp ứng master plan không.</t>
        </is>
      </c>
      <c r="E7" s="153" t="n"/>
      <c r="F7" s="153" t="n"/>
      <c r="G7" s="153" t="n"/>
      <c r="H7" s="153" t="n"/>
      <c r="I7" s="153" t="n"/>
      <c r="J7" s="15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0" customHeight="1" s="149">
      <c r="A8" s="1" t="n"/>
      <c r="B8" s="155" t="inlineStr">
        <is>
          <t>3. Rủi ro</t>
        </is>
      </c>
      <c r="C8" s="151" t="n"/>
      <c r="D8" s="52" t="inlineStr">
        <is>
          <t>Sổ rủi ro test ảnh hưởng tiến độ + biện pháp + người phụ trách.</t>
        </is>
      </c>
      <c r="E8" s="153" t="n"/>
      <c r="F8" s="153" t="n"/>
      <c r="G8" s="153" t="n"/>
      <c r="H8" s="153" t="n"/>
      <c r="I8" s="153" t="n"/>
      <c r="J8" s="15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0" customHeight="1" s="149">
      <c r="A9" s="1" t="n"/>
      <c r="B9" s="155" t="inlineStr">
        <is>
          <t>4. Test Strategy &amp; Đặc tả (opt)</t>
        </is>
      </c>
      <c r="C9" s="151" t="n"/>
      <c r="D9" s="52" t="inlineStr">
        <is>
          <t>Hướng test, môi trường, entry/exit, đặc tả từng chức năng, chiến lược SDLC. Không bắt buộc — ẩn/xóa nếu dự án đơn giản.</t>
        </is>
      </c>
      <c r="E9" s="153" t="n"/>
      <c r="F9" s="153" t="n"/>
      <c r="G9" s="153" t="n"/>
      <c r="H9" s="153" t="n"/>
      <c r="I9" s="153" t="n"/>
      <c r="J9" s="15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 s="149">
      <c r="A11" s="1" t="n"/>
      <c r="B11" s="14" t="inlineStr">
        <is>
          <t>QUY ƯỚC MÀU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149">
      <c r="A12" s="1" t="n"/>
      <c r="B12" s="156" t="inlineStr">
        <is>
          <t>Ô nhập tay</t>
        </is>
      </c>
      <c r="C12" s="151" t="n"/>
      <c r="D12" s="52" t="inlineStr">
        <is>
          <t>Người lập plan nhập trực tiếp.</t>
        </is>
      </c>
      <c r="E12" s="153" t="n"/>
      <c r="F12" s="153" t="n"/>
      <c r="G12" s="153" t="n"/>
      <c r="H12" s="153" t="n"/>
      <c r="I12" s="153" t="n"/>
      <c r="J12" s="15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149">
      <c r="A13" s="1" t="n"/>
      <c r="B13" s="157" t="inlineStr">
        <is>
          <t>Ô công thức</t>
        </is>
      </c>
      <c r="C13" s="151" t="n"/>
      <c r="D13" s="52" t="inlineStr">
        <is>
          <t>Tự tính — không sửa (Effort, ngày, %Done rollup, KẾT LUẬN).</t>
        </is>
      </c>
      <c r="E13" s="153" t="n"/>
      <c r="F13" s="153" t="n"/>
      <c r="G13" s="153" t="n"/>
      <c r="H13" s="153" t="n"/>
      <c r="I13" s="153" t="n"/>
      <c r="J13" s="15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149">
      <c r="A14" s="1" t="n"/>
      <c r="B14" s="158" t="inlineStr">
        <is>
          <t>Tiêu đề mục</t>
        </is>
      </c>
      <c r="C14" s="151" t="n"/>
      <c r="D14" s="52" t="inlineStr">
        <is>
          <t>Section header.</t>
        </is>
      </c>
      <c r="E14" s="153" t="n"/>
      <c r="F14" s="153" t="n"/>
      <c r="G14" s="153" t="n"/>
      <c r="H14" s="153" t="n"/>
      <c r="I14" s="153" t="n"/>
      <c r="J14" s="15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149">
      <c r="A15" s="1" t="n"/>
      <c r="B15" s="159" t="inlineStr">
        <is>
          <t>Khối SDLC</t>
        </is>
      </c>
      <c r="C15" s="151" t="n"/>
      <c r="D15" s="52" t="inlineStr">
        <is>
          <t>Nội dung tích hợp AI vào quy trình test.</t>
        </is>
      </c>
      <c r="E15" s="153" t="n"/>
      <c r="F15" s="153" t="n"/>
      <c r="G15" s="153" t="n"/>
      <c r="H15" s="153" t="n"/>
      <c r="I15" s="153" t="n"/>
      <c r="J15" s="15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 s="149">
      <c r="A17" s="1" t="n"/>
      <c r="B17" s="14" t="inlineStr">
        <is>
          <t>PHƯƠNG PHÁP LẬP &amp; CẬP NHẬT PLAN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8" customHeight="1" s="149">
      <c r="A18" s="1" t="n"/>
      <c r="B18" s="21" t="inlineStr">
        <is>
          <t>3 tình huống lập/cập nhật plan. Cập nhật sheet Plan &amp; Rủi ro tối thiểu mỗi tuần / sprint review.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149">
      <c r="A19" s="1" t="n"/>
      <c r="B19" s="160" t="inlineStr">
        <is>
          <t>A. Plan lần đầu</t>
        </is>
      </c>
      <c r="C19" s="153" t="n"/>
      <c r="D19" s="153" t="n"/>
      <c r="E19" s="153" t="n"/>
      <c r="F19" s="153" t="n"/>
      <c r="G19" s="153" t="n"/>
      <c r="H19" s="153" t="n"/>
      <c r="I19" s="153" t="n"/>
      <c r="J19" s="15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49">
      <c r="A20" s="1" t="n"/>
      <c r="B20" s="23" t="inlineStr">
        <is>
          <t>Bước</t>
        </is>
      </c>
      <c r="C20" s="161" t="inlineStr">
        <is>
          <t>Hoạt động</t>
        </is>
      </c>
      <c r="D20" s="153" t="n"/>
      <c r="E20" s="151" t="n"/>
      <c r="F20" s="161" t="inlineStr">
        <is>
          <t>Output / Quyết định</t>
        </is>
      </c>
      <c r="G20" s="153" t="n"/>
      <c r="H20" s="153" t="n"/>
      <c r="I20" s="153" t="n"/>
      <c r="J20" s="15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4" customHeight="1" s="149">
      <c r="A21" s="1" t="n"/>
      <c r="B21" s="25" t="inlineStr">
        <is>
          <t>1</t>
        </is>
      </c>
      <c r="C21" s="58" t="inlineStr">
        <is>
          <t>Phân tích scope + xác định Input/Output</t>
        </is>
      </c>
      <c r="D21" s="153" t="n"/>
      <c r="E21" s="151" t="n"/>
      <c r="F21" s="58" t="inlineStr">
        <is>
          <t>DS chức năng In/Out + bảng Input cần có / Output kỳ vọng</t>
        </is>
      </c>
      <c r="G21" s="153" t="n"/>
      <c r="H21" s="153" t="n"/>
      <c r="I21" s="153" t="n"/>
      <c r="J21" s="15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4" customHeight="1" s="149">
      <c r="A22" s="1" t="n"/>
      <c r="B22" s="25" t="inlineStr">
        <is>
          <t>2</t>
        </is>
      </c>
      <c r="C22" s="58" t="inlineStr">
        <is>
          <t>Book timeline với PM/Dev</t>
        </is>
      </c>
      <c r="D22" s="153" t="n"/>
      <c r="E22" s="151" t="n"/>
      <c r="F22" s="58" t="inlineStr">
        <is>
          <t>Xác nhận Input/Output sẵn sàng theo ngày</t>
        </is>
      </c>
      <c r="G22" s="153" t="n"/>
      <c r="H22" s="153" t="n"/>
      <c r="I22" s="153" t="n"/>
      <c r="J22" s="15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4" customHeight="1" s="149">
      <c r="A23" s="1" t="n"/>
      <c r="B23" s="25" t="inlineStr">
        <is>
          <t>3</t>
        </is>
      </c>
      <c r="C23" s="58" t="inlineStr">
        <is>
          <t>Xác định hướng test &amp; môi trường</t>
        </is>
      </c>
      <c r="D23" s="153" t="n"/>
      <c r="E23" s="151" t="n"/>
      <c r="F23" s="58" t="inlineStr">
        <is>
          <t>Chốt Functional/Integration…, môi trường (sheet opt)</t>
        </is>
      </c>
      <c r="G23" s="153" t="n"/>
      <c r="H23" s="153" t="n"/>
      <c r="I23" s="153" t="n"/>
      <c r="J23" s="15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4" customHeight="1" s="149">
      <c r="A24" s="1" t="n"/>
      <c r="B24" s="25" t="inlineStr">
        <is>
          <t>4</t>
        </is>
      </c>
      <c r="C24" s="58" t="inlineStr">
        <is>
          <t>Lập Plan (round + effort) &amp; đối chiếu master plan</t>
        </is>
      </c>
      <c r="D24" s="153" t="n"/>
      <c r="E24" s="151" t="n"/>
      <c r="F24" s="58" t="inlineStr">
        <is>
          <t>KẾT LUẬN đáp ứng / không (đầu sheet Plan)</t>
        </is>
      </c>
      <c r="G24" s="153" t="n"/>
      <c r="H24" s="153" t="n"/>
      <c r="I24" s="153" t="n"/>
      <c r="J24" s="15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4" customHeight="1" s="149">
      <c r="A25" s="1" t="n"/>
      <c r="B25" s="25" t="inlineStr">
        <is>
          <t>5</t>
        </is>
      </c>
      <c r="C25" s="58" t="inlineStr">
        <is>
          <t>Nếu KHÔNG đáp ứng → bàn PM</t>
        </is>
      </c>
      <c r="D25" s="153" t="n"/>
      <c r="E25" s="151" t="n"/>
      <c r="F25" s="58" t="inlineStr">
        <is>
          <t>Rút scope / thêm QC / OT → ra plan khả thi</t>
        </is>
      </c>
      <c r="G25" s="153" t="n"/>
      <c r="H25" s="153" t="n"/>
      <c r="I25" s="153" t="n"/>
      <c r="J25" s="15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149">
      <c r="A27" s="1" t="n"/>
      <c r="B27" s="160" t="inlineStr">
        <is>
          <t>B. Plan khi có Change Request (CR)</t>
        </is>
      </c>
      <c r="C27" s="153" t="n"/>
      <c r="D27" s="153" t="n"/>
      <c r="E27" s="153" t="n"/>
      <c r="F27" s="153" t="n"/>
      <c r="G27" s="153" t="n"/>
      <c r="H27" s="153" t="n"/>
      <c r="I27" s="153" t="n"/>
      <c r="J27" s="15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23" t="inlineStr">
        <is>
          <t>Bước</t>
        </is>
      </c>
      <c r="C28" s="161" t="inlineStr">
        <is>
          <t>Hoạt động</t>
        </is>
      </c>
      <c r="D28" s="153" t="n"/>
      <c r="E28" s="151" t="n"/>
      <c r="F28" s="161" t="inlineStr">
        <is>
          <t>Output / Quyết định</t>
        </is>
      </c>
      <c r="G28" s="153" t="n"/>
      <c r="H28" s="153" t="n"/>
      <c r="I28" s="153" t="n"/>
      <c r="J28" s="15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" customHeight="1" s="149">
      <c r="A29" s="1" t="n"/>
      <c r="B29" s="25" t="inlineStr">
        <is>
          <t>1</t>
        </is>
      </c>
      <c r="C29" s="58" t="inlineStr">
        <is>
          <t>Phân tích ảnh hưởng CR</t>
        </is>
      </c>
      <c r="D29" s="153" t="n"/>
      <c r="E29" s="151" t="n"/>
      <c r="F29" s="58" t="inlineStr">
        <is>
          <t>Vùng chức năng/round bị tác động</t>
        </is>
      </c>
      <c r="G29" s="153" t="n"/>
      <c r="H29" s="153" t="n"/>
      <c r="I29" s="153" t="n"/>
      <c r="J29" s="15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4" customHeight="1" s="149">
      <c r="A30" s="1" t="n"/>
      <c r="B30" s="25" t="inlineStr">
        <is>
          <t>2a</t>
        </is>
      </c>
      <c r="C30" s="58" t="inlineStr">
        <is>
          <t>Plan vẫn đảm bảo → KHÔNG replan</t>
        </is>
      </c>
      <c r="D30" s="153" t="n"/>
      <c r="E30" s="151" t="n"/>
      <c r="F30" s="58" t="inlineStr">
        <is>
          <t>Mail nhận CR &amp; xác nhận test từ round này</t>
        </is>
      </c>
      <c r="G30" s="153" t="n"/>
      <c r="H30" s="153" t="n"/>
      <c r="I30" s="153" t="n"/>
      <c r="J30" s="15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4" customHeight="1" s="149">
      <c r="A31" s="1" t="n"/>
      <c r="B31" s="25" t="inlineStr">
        <is>
          <t>2b</t>
        </is>
      </c>
      <c r="C31" s="58" t="inlineStr">
        <is>
          <t>Plan thay đổi → replan</t>
        </is>
      </c>
      <c r="D31" s="153" t="n"/>
      <c r="E31" s="151" t="n"/>
      <c r="F31" s="58" t="inlineStr">
        <is>
          <t>Cập nhật Plan từ các round bị ảnh hưởng + ghi Revision</t>
        </is>
      </c>
      <c r="G31" s="153" t="n"/>
      <c r="H31" s="153" t="n"/>
      <c r="I31" s="153" t="n"/>
      <c r="J31" s="15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8" customHeight="1" s="149">
      <c r="A33" s="1" t="n"/>
      <c r="B33" s="160" t="inlineStr">
        <is>
          <t>C. Plan phần phát sinh (recheck bug)</t>
        </is>
      </c>
      <c r="C33" s="153" t="n"/>
      <c r="D33" s="153" t="n"/>
      <c r="E33" s="153" t="n"/>
      <c r="F33" s="153" t="n"/>
      <c r="G33" s="153" t="n"/>
      <c r="H33" s="153" t="n"/>
      <c r="I33" s="153" t="n"/>
      <c r="J33" s="15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23" t="inlineStr">
        <is>
          <t>Bước</t>
        </is>
      </c>
      <c r="C34" s="161" t="inlineStr">
        <is>
          <t>Hoạt động</t>
        </is>
      </c>
      <c r="D34" s="153" t="n"/>
      <c r="E34" s="151" t="n"/>
      <c r="F34" s="161" t="inlineStr">
        <is>
          <t>Output / Quyết định</t>
        </is>
      </c>
      <c r="G34" s="153" t="n"/>
      <c r="H34" s="153" t="n"/>
      <c r="I34" s="153" t="n"/>
      <c r="J34" s="15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4" customHeight="1" s="149">
      <c r="A35" s="1" t="n"/>
      <c r="B35" s="25" t="inlineStr">
        <is>
          <t>1</t>
        </is>
      </c>
      <c r="C35" s="58" t="inlineStr">
        <is>
          <t>Nhận timeline done bug từ PM</t>
        </is>
      </c>
      <c r="D35" s="153" t="n"/>
      <c r="E35" s="151" t="n"/>
      <c r="F35" s="58" t="inlineStr">
        <is>
          <t>Ngày Dev hoàn tất fix (điều kiện tiên quyết)</t>
        </is>
      </c>
      <c r="G35" s="153" t="n"/>
      <c r="H35" s="153" t="n"/>
      <c r="I35" s="153" t="n"/>
      <c r="J35" s="15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4" customHeight="1" s="149">
      <c r="A36" s="1" t="n"/>
      <c r="B36" s="25" t="inlineStr">
        <is>
          <t>2</t>
        </is>
      </c>
      <c r="C36" s="58" t="inlineStr">
        <is>
          <t>Check số lượng + mức độ bug</t>
        </is>
      </c>
      <c r="D36" s="153" t="n"/>
      <c r="E36" s="151" t="n"/>
      <c r="F36" s="58" t="inlineStr">
        <is>
          <t>Chốt: chỉ recheck bug / recheck + happy case lại</t>
        </is>
      </c>
      <c r="G36" s="153" t="n"/>
      <c r="H36" s="153" t="n"/>
      <c r="I36" s="153" t="n"/>
      <c r="J36" s="15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4" customHeight="1" s="149">
      <c r="A37" s="1" t="n"/>
      <c r="B37" s="25" t="inlineStr">
        <is>
          <t>3</t>
        </is>
      </c>
      <c r="C37" s="58" t="inlineStr">
        <is>
          <t>Est ngày recheck &amp; thêm round phát sinh</t>
        </is>
      </c>
      <c r="D37" s="153" t="n"/>
      <c r="E37" s="151" t="n"/>
      <c r="F37" s="58" t="inlineStr">
        <is>
          <t>1 hoặc nhiều round phát sinh vào sheet Plan</t>
        </is>
      </c>
      <c r="G37" s="153" t="n"/>
      <c r="H37" s="153" t="n"/>
      <c r="I37" s="153" t="n"/>
      <c r="J37" s="15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1.75" customHeight="1" s="149">
      <c r="A39" s="1" t="n"/>
      <c r="B39" s="14" t="inlineStr">
        <is>
          <t>WBS CHUẨN — PHÂN RÃ CÔNG VIỆC QC (mẫu, tham chiếu)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4" customHeight="1" s="149">
      <c r="A40" s="1" t="n"/>
      <c r="B40" s="23" t="inlineStr">
        <is>
          <t>Mã</t>
        </is>
      </c>
      <c r="C40" s="23" t="inlineStr">
        <is>
          <t>Giai đoạn</t>
        </is>
      </c>
      <c r="D40" s="161" t="inlineStr">
        <is>
          <t>Công việc</t>
        </is>
      </c>
      <c r="E40" s="153" t="n"/>
      <c r="F40" s="151" t="n"/>
      <c r="G40" s="23" t="inlineStr">
        <is>
          <t>PIC</t>
        </is>
      </c>
      <c r="H40" s="151" t="n"/>
      <c r="I40" s="23" t="inlineStr">
        <is>
          <t>Effort (md)</t>
        </is>
      </c>
      <c r="J40" s="23" t="inlineStr">
        <is>
          <t>AI hỗ trợ</t>
        </is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8" customHeight="1" s="149">
      <c r="A41" s="1" t="n"/>
      <c r="B41" s="25" t="inlineStr">
        <is>
          <t>W01</t>
        </is>
      </c>
      <c r="C41" s="25" t="inlineStr">
        <is>
          <t>Chuẩn bị</t>
        </is>
      </c>
      <c r="D41" s="58" t="inlineStr">
        <is>
          <t>Nghiên cứu tài liệu (SRS/Design/API)</t>
        </is>
      </c>
      <c r="E41" s="153" t="n"/>
      <c r="F41" s="151" t="n"/>
      <c r="G41" s="25" t="inlineStr">
        <is>
          <t>QC Lead</t>
        </is>
      </c>
      <c r="H41" s="151" t="n"/>
      <c r="I41" s="29" t="n">
        <v>1</v>
      </c>
      <c r="J41" s="30" t="inlineStr">
        <is>
          <t>No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8" customHeight="1" s="149">
      <c r="A42" s="1" t="n"/>
      <c r="B42" s="25" t="inlineStr">
        <is>
          <t>W02</t>
        </is>
      </c>
      <c r="C42" s="25" t="inlineStr">
        <is>
          <t>Phân tích scope</t>
        </is>
      </c>
      <c r="D42" s="58" t="inlineStr">
        <is>
          <t>Xác định In/Out scope, hệ thống liên kết</t>
        </is>
      </c>
      <c r="E42" s="153" t="n"/>
      <c r="F42" s="151" t="n"/>
      <c r="G42" s="25" t="inlineStr">
        <is>
          <t>QC Lead</t>
        </is>
      </c>
      <c r="H42" s="151" t="n"/>
      <c r="I42" s="29" t="n">
        <v>1</v>
      </c>
      <c r="J42" s="30" t="inlineStr">
        <is>
          <t>No</t>
        </is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8" customHeight="1" s="149">
      <c r="A43" s="1" t="n"/>
      <c r="B43" s="25" t="inlineStr">
        <is>
          <t>W03</t>
        </is>
      </c>
      <c r="C43" s="25" t="inlineStr">
        <is>
          <t>Thiết kế test</t>
        </is>
      </c>
      <c r="D43" s="58" t="inlineStr">
        <is>
          <t>Sinh &amp; viết Test Case (AI sinh → QC hoàn thiện)</t>
        </is>
      </c>
      <c r="E43" s="153" t="n"/>
      <c r="F43" s="151" t="n"/>
      <c r="G43" s="25" t="inlineStr">
        <is>
          <t>QC</t>
        </is>
      </c>
      <c r="H43" s="151" t="n"/>
      <c r="I43" s="29" t="n">
        <v>3</v>
      </c>
      <c r="J43" s="31" t="inlineStr">
        <is>
          <t>Yes</t>
        </is>
      </c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" customHeight="1" s="149">
      <c r="A44" s="1" t="n"/>
      <c r="B44" s="25" t="inlineStr">
        <is>
          <t>W04</t>
        </is>
      </c>
      <c r="C44" s="25" t="inlineStr">
        <is>
          <t>Thiết kế test</t>
        </is>
      </c>
      <c r="D44" s="58" t="inlineStr">
        <is>
          <t>Review Test Case (đặc biệt TC do AI sinh)</t>
        </is>
      </c>
      <c r="E44" s="153" t="n"/>
      <c r="F44" s="151" t="n"/>
      <c r="G44" s="25" t="inlineStr">
        <is>
          <t>QC Lead</t>
        </is>
      </c>
      <c r="H44" s="151" t="n"/>
      <c r="I44" s="29" t="n">
        <v>1</v>
      </c>
      <c r="J44" s="30" t="inlineStr">
        <is>
          <t>No</t>
        </is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8" customHeight="1" s="149">
      <c r="A45" s="1" t="n"/>
      <c r="B45" s="25" t="inlineStr">
        <is>
          <t>W05</t>
        </is>
      </c>
      <c r="C45" s="25" t="inlineStr">
        <is>
          <t>Chuẩn bị</t>
        </is>
      </c>
      <c r="D45" s="58" t="inlineStr">
        <is>
          <t>Chuẩn bị data &amp; môi trường, sandbox key</t>
        </is>
      </c>
      <c r="E45" s="153" t="n"/>
      <c r="F45" s="151" t="n"/>
      <c r="G45" s="25" t="inlineStr">
        <is>
          <t>QC / Dev</t>
        </is>
      </c>
      <c r="H45" s="151" t="n"/>
      <c r="I45" s="29" t="n">
        <v>1</v>
      </c>
      <c r="J45" s="30" t="inlineStr">
        <is>
          <t>No</t>
        </is>
      </c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8" customHeight="1" s="149">
      <c r="A46" s="1" t="n"/>
      <c r="B46" s="25" t="inlineStr">
        <is>
          <t>W06</t>
        </is>
      </c>
      <c r="C46" s="25" t="inlineStr">
        <is>
          <t>Automation</t>
        </is>
      </c>
      <c r="D46" s="58" t="inlineStr">
        <is>
          <t>Viết script automation (AI hỗ trợ)</t>
        </is>
      </c>
      <c r="E46" s="153" t="n"/>
      <c r="F46" s="151" t="n"/>
      <c r="G46" s="25" t="inlineStr">
        <is>
          <t>QC auto</t>
        </is>
      </c>
      <c r="H46" s="151" t="n"/>
      <c r="I46" s="29" t="n">
        <v>2</v>
      </c>
      <c r="J46" s="31" t="inlineStr">
        <is>
          <t>Yes</t>
        </is>
      </c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8" customHeight="1" s="149">
      <c r="A47" s="1" t="n"/>
      <c r="B47" s="25" t="inlineStr">
        <is>
          <t>W07</t>
        </is>
      </c>
      <c r="C47" s="25" t="inlineStr">
        <is>
          <t>Thực thi</t>
        </is>
      </c>
      <c r="D47" s="58" t="inlineStr">
        <is>
          <t>Execute Round 1 (full test)</t>
        </is>
      </c>
      <c r="E47" s="153" t="n"/>
      <c r="F47" s="151" t="n"/>
      <c r="G47" s="25" t="inlineStr">
        <is>
          <t>QC</t>
        </is>
      </c>
      <c r="H47" s="151" t="n"/>
      <c r="I47" s="29" t="n">
        <v>5</v>
      </c>
      <c r="J47" s="30" t="inlineStr">
        <is>
          <t>No</t>
        </is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8" customHeight="1" s="149">
      <c r="A48" s="1" t="n"/>
      <c r="B48" s="25" t="inlineStr">
        <is>
          <t>W08</t>
        </is>
      </c>
      <c r="C48" s="25" t="inlineStr">
        <is>
          <t>Thực thi</t>
        </is>
      </c>
      <c r="D48" s="58" t="inlineStr">
        <is>
          <t>Recheck Round 2 (bug + regression)</t>
        </is>
      </c>
      <c r="E48" s="153" t="n"/>
      <c r="F48" s="151" t="n"/>
      <c r="G48" s="25" t="inlineStr">
        <is>
          <t>QC</t>
        </is>
      </c>
      <c r="H48" s="151" t="n"/>
      <c r="I48" s="29" t="n">
        <v>3</v>
      </c>
      <c r="J48" s="31" t="inlineStr">
        <is>
          <t>Yes</t>
        </is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8" customHeight="1" s="149">
      <c r="A49" s="1" t="n"/>
      <c r="B49" s="25" t="inlineStr">
        <is>
          <t>W09</t>
        </is>
      </c>
      <c r="C49" s="25" t="inlineStr">
        <is>
          <t>Thực thi</t>
        </is>
      </c>
      <c r="D49" s="58" t="inlineStr">
        <is>
          <t>Round phát sinh (nếu có)</t>
        </is>
      </c>
      <c r="E49" s="153" t="n"/>
      <c r="F49" s="151" t="n"/>
      <c r="G49" s="25" t="inlineStr">
        <is>
          <t>QC</t>
        </is>
      </c>
      <c r="H49" s="151" t="n"/>
      <c r="I49" s="29" t="n">
        <v>2</v>
      </c>
      <c r="J49" s="30" t="inlineStr">
        <is>
          <t>No</t>
        </is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8" customHeight="1" s="149">
      <c r="A50" s="1" t="n"/>
      <c r="B50" s="25" t="inlineStr">
        <is>
          <t>W10</t>
        </is>
      </c>
      <c r="C50" s="25" t="inlineStr">
        <is>
          <t>Báo cáo</t>
        </is>
      </c>
      <c r="D50" s="58" t="inlineStr">
        <is>
          <t>Tổng hợp &amp; gửi Report</t>
        </is>
      </c>
      <c r="E50" s="153" t="n"/>
      <c r="F50" s="151" t="n"/>
      <c r="G50" s="25" t="inlineStr">
        <is>
          <t>QC</t>
        </is>
      </c>
      <c r="H50" s="151" t="n"/>
      <c r="I50" s="29" t="n">
        <v>1</v>
      </c>
      <c r="J50" s="30" t="inlineStr">
        <is>
          <t>No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8" customHeight="1" s="149">
      <c r="A51" s="1" t="n"/>
      <c r="B51" s="25" t="inlineStr">
        <is>
          <t>W11</t>
        </is>
      </c>
      <c r="C51" s="25" t="inlineStr">
        <is>
          <t>Đóng</t>
        </is>
      </c>
      <c r="D51" s="58" t="inlineStr">
        <is>
          <t>Đóng test &amp; lưu tài liệu</t>
        </is>
      </c>
      <c r="E51" s="153" t="n"/>
      <c r="F51" s="151" t="n"/>
      <c r="G51" s="25" t="inlineStr">
        <is>
          <t>QC Lead</t>
        </is>
      </c>
      <c r="H51" s="151" t="n"/>
      <c r="I51" s="29" t="n">
        <v>0.5</v>
      </c>
      <c r="J51" s="30" t="inlineStr">
        <is>
          <t>No</t>
        </is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8" customHeight="1" s="149">
      <c r="A52" s="1" t="n"/>
      <c r="B52" s="162" t="inlineStr">
        <is>
          <t>Tổng effort (md)</t>
        </is>
      </c>
      <c r="C52" s="153" t="n"/>
      <c r="D52" s="153" t="n"/>
      <c r="E52" s="153" t="n"/>
      <c r="F52" s="153" t="n"/>
      <c r="G52" s="153" t="n"/>
      <c r="H52" s="151" t="n"/>
      <c r="I52" s="33">
        <f>SUM(I41:I51)</f>
        <v/>
      </c>
      <c r="J52" s="34">
        <f>COUNTIF(J41:J51,"Yes")&amp;" việc AI"</f>
        <v/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.75" customHeight="1" s="149">
      <c r="A54" s="1" t="n"/>
      <c r="B54" s="14" t="inlineStr">
        <is>
          <t>MA TRẬN RACI</t>
        </is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21" t="inlineStr">
        <is>
          <t>R = Responsible (thực hiện) · A = Accountable (chịu trách nhiệm) · C = Consulted (tham vấn) · I = Informed (được thông báo)</t>
        </is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" customHeight="1" s="149">
      <c r="A56" s="1" t="n"/>
      <c r="B56" s="163" t="inlineStr">
        <is>
          <t>Hoạt động</t>
        </is>
      </c>
      <c r="C56" s="153" t="n"/>
      <c r="D56" s="151" t="n"/>
      <c r="E56" s="36" t="inlineStr">
        <is>
          <t>PM</t>
        </is>
      </c>
      <c r="F56" s="36" t="inlineStr">
        <is>
          <t>Dev Lead</t>
        </is>
      </c>
      <c r="G56" s="36" t="inlineStr">
        <is>
          <t>QC Lead</t>
        </is>
      </c>
      <c r="H56" s="36" t="inlineStr">
        <is>
          <t>QC 1</t>
        </is>
      </c>
      <c r="I56" s="36" t="inlineStr">
        <is>
          <t>QC 2</t>
        </is>
      </c>
      <c r="J56" s="36" t="inlineStr">
        <is>
          <t>BA</t>
        </is>
      </c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8" customHeight="1" s="149">
      <c r="A57" s="1" t="n"/>
      <c r="B57" s="58" t="inlineStr">
        <is>
          <t>Duyệt scope &amp; timeline</t>
        </is>
      </c>
      <c r="C57" s="153" t="n"/>
      <c r="D57" s="151" t="n"/>
      <c r="E57" s="25" t="inlineStr">
        <is>
          <t>A</t>
        </is>
      </c>
      <c r="F57" s="25" t="inlineStr">
        <is>
          <t>C</t>
        </is>
      </c>
      <c r="G57" s="25" t="inlineStr">
        <is>
          <t>R</t>
        </is>
      </c>
      <c r="H57" s="25" t="inlineStr">
        <is>
          <t>I</t>
        </is>
      </c>
      <c r="I57" s="25" t="inlineStr">
        <is>
          <t>I</t>
        </is>
      </c>
      <c r="J57" s="25" t="inlineStr">
        <is>
          <t>C</t>
        </is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8" customHeight="1" s="149">
      <c r="A58" s="1" t="n"/>
      <c r="B58" s="58" t="inlineStr">
        <is>
          <t>Phân tích &amp; lập Test Plan</t>
        </is>
      </c>
      <c r="C58" s="153" t="n"/>
      <c r="D58" s="151" t="n"/>
      <c r="E58" s="25" t="inlineStr">
        <is>
          <t>C</t>
        </is>
      </c>
      <c r="F58" s="25" t="inlineStr">
        <is>
          <t>C</t>
        </is>
      </c>
      <c r="G58" s="25" t="inlineStr">
        <is>
          <t>A/R</t>
        </is>
      </c>
      <c r="H58" s="25" t="inlineStr">
        <is>
          <t>C</t>
        </is>
      </c>
      <c r="I58" s="25" t="inlineStr">
        <is>
          <t>I</t>
        </is>
      </c>
      <c r="J58" s="25" t="inlineStr">
        <is>
          <t>C</t>
        </is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8" customHeight="1" s="149">
      <c r="A59" s="1" t="n"/>
      <c r="B59" s="58" t="inlineStr">
        <is>
          <t>Viết / sinh Test Case</t>
        </is>
      </c>
      <c r="C59" s="153" t="n"/>
      <c r="D59" s="151" t="n"/>
      <c r="E59" s="25" t="inlineStr">
        <is>
          <t>I</t>
        </is>
      </c>
      <c r="F59" s="25" t="inlineStr">
        <is>
          <t>I</t>
        </is>
      </c>
      <c r="G59" s="25" t="inlineStr">
        <is>
          <t>A</t>
        </is>
      </c>
      <c r="H59" s="25" t="inlineStr">
        <is>
          <t>R</t>
        </is>
      </c>
      <c r="I59" s="25" t="inlineStr">
        <is>
          <t>R</t>
        </is>
      </c>
      <c r="J59" s="25" t="inlineStr">
        <is>
          <t>C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8" customHeight="1" s="149">
      <c r="A60" s="1" t="n"/>
      <c r="B60" s="58" t="inlineStr">
        <is>
          <t>Review Test Case</t>
        </is>
      </c>
      <c r="C60" s="153" t="n"/>
      <c r="D60" s="151" t="n"/>
      <c r="E60" s="25" t="inlineStr">
        <is>
          <t>I</t>
        </is>
      </c>
      <c r="F60" s="25" t="inlineStr">
        <is>
          <t>I</t>
        </is>
      </c>
      <c r="G60" s="25" t="inlineStr">
        <is>
          <t>A/R</t>
        </is>
      </c>
      <c r="H60" s="25" t="inlineStr">
        <is>
          <t>C</t>
        </is>
      </c>
      <c r="I60" s="25" t="inlineStr">
        <is>
          <t>C</t>
        </is>
      </c>
      <c r="J60" s="25" t="inlineStr">
        <is>
          <t>I</t>
        </is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8" customHeight="1" s="149">
      <c r="A61" s="1" t="n"/>
      <c r="B61" s="58" t="inlineStr">
        <is>
          <t>Thực thi test (các round)</t>
        </is>
      </c>
      <c r="C61" s="153" t="n"/>
      <c r="D61" s="151" t="n"/>
      <c r="E61" s="25" t="inlineStr">
        <is>
          <t>I</t>
        </is>
      </c>
      <c r="F61" s="25" t="inlineStr">
        <is>
          <t>C</t>
        </is>
      </c>
      <c r="G61" s="25" t="inlineStr">
        <is>
          <t>A</t>
        </is>
      </c>
      <c r="H61" s="25" t="inlineStr">
        <is>
          <t>R</t>
        </is>
      </c>
      <c r="I61" s="25" t="inlineStr">
        <is>
          <t>R</t>
        </is>
      </c>
      <c r="J61" s="25" t="inlineStr">
        <is>
          <t>I</t>
        </is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149">
      <c r="A62" s="1" t="n"/>
      <c r="B62" s="58" t="inlineStr">
        <is>
          <t>Fix bug</t>
        </is>
      </c>
      <c r="C62" s="153" t="n"/>
      <c r="D62" s="151" t="n"/>
      <c r="E62" s="25" t="inlineStr">
        <is>
          <t>I</t>
        </is>
      </c>
      <c r="F62" s="25" t="inlineStr">
        <is>
          <t>A</t>
        </is>
      </c>
      <c r="G62" s="25" t="inlineStr">
        <is>
          <t>C</t>
        </is>
      </c>
      <c r="H62" s="25" t="inlineStr">
        <is>
          <t>R</t>
        </is>
      </c>
      <c r="I62" s="25" t="inlineStr">
        <is>
          <t>R</t>
        </is>
      </c>
      <c r="J62" s="25" t="inlineStr">
        <is>
          <t>I</t>
        </is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8" customHeight="1" s="149">
      <c r="A63" s="1" t="n"/>
      <c r="B63" s="58" t="inlineStr">
        <is>
          <t>Report &amp; quyết định release</t>
        </is>
      </c>
      <c r="C63" s="153" t="n"/>
      <c r="D63" s="151" t="n"/>
      <c r="E63" s="25" t="inlineStr">
        <is>
          <t>A</t>
        </is>
      </c>
      <c r="F63" s="25" t="inlineStr">
        <is>
          <t>C</t>
        </is>
      </c>
      <c r="G63" s="25" t="inlineStr">
        <is>
          <t>R</t>
        </is>
      </c>
      <c r="H63" s="25" t="inlineStr">
        <is>
          <t>I</t>
        </is>
      </c>
      <c r="I63" s="25" t="inlineStr">
        <is>
          <t>I</t>
        </is>
      </c>
      <c r="J63" s="25" t="inlineStr">
        <is>
          <t>I</t>
        </is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89">
    <mergeCell ref="B60:D60"/>
    <mergeCell ref="C31:E31"/>
    <mergeCell ref="B57:D57"/>
    <mergeCell ref="C21:E21"/>
    <mergeCell ref="D47:F47"/>
    <mergeCell ref="B12:C12"/>
    <mergeCell ref="C23:E23"/>
    <mergeCell ref="F36:J36"/>
    <mergeCell ref="B14:C14"/>
    <mergeCell ref="B55:J55"/>
    <mergeCell ref="B13:C13"/>
    <mergeCell ref="B33:J33"/>
    <mergeCell ref="B52:H52"/>
    <mergeCell ref="F31:J31"/>
    <mergeCell ref="B62:D62"/>
    <mergeCell ref="C34:E34"/>
    <mergeCell ref="B3:J3"/>
    <mergeCell ref="B56:D56"/>
    <mergeCell ref="B27:J27"/>
    <mergeCell ref="B18:J18"/>
    <mergeCell ref="G44:H44"/>
    <mergeCell ref="C20:E20"/>
    <mergeCell ref="C25:E25"/>
    <mergeCell ref="B2:J2"/>
    <mergeCell ref="B11:J11"/>
    <mergeCell ref="D41:F41"/>
    <mergeCell ref="D9:J9"/>
    <mergeCell ref="C22:E22"/>
    <mergeCell ref="D15:J15"/>
    <mergeCell ref="G48:H48"/>
    <mergeCell ref="D43:F43"/>
    <mergeCell ref="F21:J21"/>
    <mergeCell ref="F35:J35"/>
    <mergeCell ref="G49:H49"/>
    <mergeCell ref="F22:J22"/>
    <mergeCell ref="B54:J54"/>
    <mergeCell ref="C24:E24"/>
    <mergeCell ref="B6:C6"/>
    <mergeCell ref="B59:D59"/>
    <mergeCell ref="B15:C15"/>
    <mergeCell ref="D46:F46"/>
    <mergeCell ref="D40:F40"/>
    <mergeCell ref="C35:E35"/>
    <mergeCell ref="F29:J29"/>
    <mergeCell ref="B7:C7"/>
    <mergeCell ref="G42:H42"/>
    <mergeCell ref="D12:J12"/>
    <mergeCell ref="B17:J17"/>
    <mergeCell ref="D14:J14"/>
    <mergeCell ref="C36:E36"/>
    <mergeCell ref="B19:J19"/>
    <mergeCell ref="F24:J24"/>
    <mergeCell ref="D42:F42"/>
    <mergeCell ref="D51:F51"/>
    <mergeCell ref="C28:E28"/>
    <mergeCell ref="B5:J5"/>
    <mergeCell ref="B63:D63"/>
    <mergeCell ref="C37:E37"/>
    <mergeCell ref="F23:J23"/>
    <mergeCell ref="D50:F50"/>
    <mergeCell ref="D44:F44"/>
    <mergeCell ref="B9:C9"/>
    <mergeCell ref="C30:E30"/>
    <mergeCell ref="G51:H51"/>
    <mergeCell ref="F37:J37"/>
    <mergeCell ref="D7:J7"/>
    <mergeCell ref="G41:H41"/>
    <mergeCell ref="G50:H50"/>
    <mergeCell ref="D45:F45"/>
    <mergeCell ref="B39:J39"/>
    <mergeCell ref="G43:H43"/>
    <mergeCell ref="B61:D61"/>
    <mergeCell ref="F34:J34"/>
    <mergeCell ref="D8:J8"/>
    <mergeCell ref="F25:J25"/>
    <mergeCell ref="D48:F48"/>
    <mergeCell ref="F30:J30"/>
    <mergeCell ref="F20:J20"/>
    <mergeCell ref="B8:C8"/>
    <mergeCell ref="D6:J6"/>
    <mergeCell ref="F28:J28"/>
    <mergeCell ref="G45:H45"/>
    <mergeCell ref="D13:J13"/>
    <mergeCell ref="G47:H47"/>
    <mergeCell ref="B58:D58"/>
    <mergeCell ref="G46:H46"/>
    <mergeCell ref="C29:E29"/>
    <mergeCell ref="G40:H40"/>
    <mergeCell ref="D49:F49"/>
  </mergeCell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2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14" customWidth="1" style="149" min="2" max="4"/>
    <col width="20" customWidth="1" style="149" min="5" max="5"/>
    <col width="14" customWidth="1" style="149" min="6" max="6"/>
    <col width="40" customWidth="1" style="149" min="7" max="7"/>
  </cols>
  <sheetData>
    <row r="1" ht="15.75" customHeight="1" s="14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4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49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4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14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49">
      <c r="A6" s="1" t="n"/>
      <c r="B6" s="37" t="n"/>
      <c r="C6" s="37" t="n"/>
      <c r="D6" s="37" t="n"/>
      <c r="E6" s="37" t="n"/>
      <c r="F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37" t="n"/>
      <c r="C7" s="37" t="n"/>
      <c r="D7" s="38" t="inlineStr">
        <is>
          <t>REVISION HISTORY</t>
        </is>
      </c>
      <c r="E7" s="37" t="n"/>
      <c r="F7" s="37" t="n"/>
      <c r="G7" s="37" t="n"/>
      <c r="H7" s="37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7" t="n"/>
      <c r="C8" s="37" t="n"/>
      <c r="D8" s="37" t="n"/>
      <c r="E8" s="37" t="n"/>
      <c r="F8" s="37" t="n"/>
      <c r="G8" s="37" t="n"/>
      <c r="H8" s="37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7" t="n"/>
      <c r="C9" s="37" t="n"/>
      <c r="D9" s="37" t="n"/>
      <c r="E9" s="37" t="n"/>
      <c r="F9" s="37" t="n"/>
      <c r="G9" s="37" t="n"/>
      <c r="H9" s="37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39" t="inlineStr">
        <is>
          <t>Date</t>
        </is>
      </c>
      <c r="C10" s="39" t="inlineStr">
        <is>
          <t>Version</t>
        </is>
      </c>
      <c r="D10" s="39" t="inlineStr">
        <is>
          <t>Author</t>
        </is>
      </c>
      <c r="E10" s="39" t="inlineStr">
        <is>
          <t>Reviewer</t>
        </is>
      </c>
      <c r="F10" s="39" t="inlineStr">
        <is>
          <t>Approver</t>
        </is>
      </c>
      <c r="G10" s="39" t="inlineStr">
        <is>
          <t>Change Description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40" t="n">
        <v>46309</v>
      </c>
      <c r="C11" s="41" t="inlineStr">
        <is>
          <t>1.0</t>
        </is>
      </c>
      <c r="D11" s="42" t="inlineStr">
        <is>
          <t>HuyenNHK</t>
        </is>
      </c>
      <c r="E11" s="42" t="inlineStr">
        <is>
          <t>Leltm</t>
        </is>
      </c>
      <c r="F11" s="43" t="inlineStr">
        <is>
          <t>Leltm</t>
        </is>
      </c>
      <c r="G11" s="44" t="inlineStr">
        <is>
          <t>Phát hành lần đầu — Test Plan v2.0 theo URD rev 2.2 (PO đã confirm 13/10/2026): 4 module XHD, GN, HK, TL; đơn bán mới + bán thêm; ma trận 17 kênh × 20 nhóm dịch vụ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40" t="n"/>
      <c r="C12" s="41" t="n"/>
      <c r="D12" s="42" t="n"/>
      <c r="E12" s="42" t="n"/>
      <c r="F12" s="43" t="n"/>
      <c r="G12" s="44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40" t="n"/>
      <c r="C13" s="41" t="n"/>
      <c r="D13" s="42" t="n"/>
      <c r="E13" s="42" t="n"/>
      <c r="F13" s="43" t="n"/>
      <c r="G13" s="44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40" t="n"/>
      <c r="C14" s="41" t="n"/>
      <c r="D14" s="42" t="n"/>
      <c r="E14" s="42" t="n"/>
      <c r="F14" s="43" t="n"/>
      <c r="G14" s="44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40" t="n"/>
      <c r="C15" s="41" t="n"/>
      <c r="D15" s="42" t="n"/>
      <c r="E15" s="42" t="n"/>
      <c r="F15" s="43" t="n"/>
      <c r="G15" s="44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40" t="n"/>
      <c r="C16" s="41" t="n"/>
      <c r="D16" s="42" t="n"/>
      <c r="E16" s="42" t="n"/>
      <c r="F16" s="43" t="n"/>
      <c r="G16" s="44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40" t="n"/>
      <c r="C17" s="41" t="n"/>
      <c r="D17" s="42" t="n"/>
      <c r="E17" s="42" t="n"/>
      <c r="F17" s="43" t="n"/>
      <c r="G17" s="44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40" t="n"/>
      <c r="C18" s="41" t="n"/>
      <c r="D18" s="42" t="n"/>
      <c r="E18" s="42" t="n"/>
      <c r="F18" s="43" t="n"/>
      <c r="G18" s="44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30" customHeight="1" s="149">
      <c r="A19" s="1" t="n"/>
      <c r="B19" s="45" t="inlineStr">
        <is>
          <t>Ghi lại mỗi lần DỜI LỊCH / đổi effort / đổi scope round. 
Thông tin thay đổi cần được mô tả hạng mục, nội dung cũ và mới, lý do thay đổi tại cột Change Description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9">
      <c r="A20" s="1" t="n"/>
      <c r="B20" s="10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4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3">
    <mergeCell ref="B19:G19"/>
    <mergeCell ref="B20:G20"/>
    <mergeCell ref="F6:H6"/>
  </mergeCells>
  <pageMargins left="0.4" right="0.4" top="1" bottom="1" header="0" footer="0"/>
  <pageSetup orientation="portrait" fitToHeight="0"/>
  <headerFooter>
    <oddHeader/>
    <oddFooter>&amp;CFPT Telecom — Lưu hành nội bộ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78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6" customWidth="1" style="149" min="2" max="2"/>
    <col width="24" customWidth="1" style="149" min="3" max="3"/>
    <col width="22" customWidth="1" style="149" min="4" max="4"/>
    <col width="18" customWidth="1" style="149" min="5" max="6"/>
    <col width="22" customWidth="1" style="149" min="7" max="7"/>
    <col width="24" customWidth="1" style="149" min="8" max="8"/>
    <col width="22" customWidth="1" style="149" min="9" max="9"/>
    <col width="14" customWidth="1" style="149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>TỔNG QUAN DỰ ÁN &amp; SCOPE TEST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inlineStr">
        <is>
          <t>Thông tin dự án cần nắm: tình trạng tài liệu, hệ thống liên kết, phạm vi test và điều kiện QC cần từ dự án.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149">
      <c r="A5" s="1" t="n"/>
      <c r="B5" s="14" t="inlineStr">
        <is>
          <t>A. THÔNG TIN DỰ ÁN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9">
      <c r="A6" s="1" t="n"/>
      <c r="B6" s="164" t="inlineStr">
        <is>
          <t>Tên dự án</t>
        </is>
      </c>
      <c r="C6" s="151" t="n"/>
      <c r="D6" s="165" t="inlineStr">
        <is>
          <t>Invoice Issuance Architecture</t>
        </is>
      </c>
      <c r="E6" s="151" t="n"/>
      <c r="F6" s="164" t="inlineStr">
        <is>
          <t>Loại dự án</t>
        </is>
      </c>
      <c r="G6" s="151" t="n"/>
      <c r="H6" s="165" t="inlineStr">
        <is>
          <t>Nâng cấp</t>
        </is>
      </c>
      <c r="I6" s="153" t="n"/>
      <c r="J6" s="15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9">
      <c r="A7" s="1" t="n"/>
      <c r="B7" s="164" t="inlineStr">
        <is>
          <t>Version</t>
        </is>
      </c>
      <c r="C7" s="151" t="n"/>
      <c r="D7" s="165" t="inlineStr">
        <is>
          <t>v2.0</t>
        </is>
      </c>
      <c r="E7" s="151" t="n"/>
      <c r="F7" s="164" t="inlineStr">
        <is>
          <t>Sprint / Giai đoạn</t>
        </is>
      </c>
      <c r="G7" s="151" t="n"/>
      <c r="H7" s="165" t="inlineStr">
        <is>
          <t>Waterfall</t>
        </is>
      </c>
      <c r="I7" s="153" t="n"/>
      <c r="J7" s="15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9">
      <c r="A8" s="1" t="n"/>
      <c r="B8" s="164" t="inlineStr">
        <is>
          <t>PM</t>
        </is>
      </c>
      <c r="C8" s="151" t="n"/>
      <c r="D8" s="165" t="inlineStr">
        <is>
          <t>Leltm</t>
        </is>
      </c>
      <c r="E8" s="151" t="n"/>
      <c r="F8" s="164" t="inlineStr">
        <is>
          <t>Dev Lead</t>
        </is>
      </c>
      <c r="G8" s="151" t="n"/>
      <c r="H8" s="165" t="inlineStr">
        <is>
          <t>TBD</t>
        </is>
      </c>
      <c r="I8" s="153" t="n"/>
      <c r="J8" s="15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9">
      <c r="A9" s="1" t="n"/>
      <c r="B9" s="164" t="inlineStr">
        <is>
          <t>QC Lead / PIC</t>
        </is>
      </c>
      <c r="C9" s="151" t="n"/>
      <c r="D9" s="165" t="inlineStr">
        <is>
          <t>HuyenNHK</t>
        </is>
      </c>
      <c r="E9" s="151" t="n"/>
      <c r="F9" s="164" t="inlineStr">
        <is>
          <t>Deadline master plan</t>
        </is>
      </c>
      <c r="G9" s="151" t="n"/>
      <c r="H9" s="166" t="n">
        <v>46339</v>
      </c>
      <c r="I9" s="153" t="n"/>
      <c r="J9" s="15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 s="149">
      <c r="A11" s="1" t="n"/>
      <c r="B11" s="14" t="inlineStr">
        <is>
          <t>B. TRẠNG THÁI TÀI LIỆU  (Draft phải có ngày chốt Final)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5.5" customHeight="1" s="149">
      <c r="A12" s="1" t="n"/>
      <c r="B12" s="48" t="inlineStr">
        <is>
          <t>#</t>
        </is>
      </c>
      <c r="C12" s="48" t="inlineStr">
        <is>
          <t>Tài liệu</t>
        </is>
      </c>
      <c r="D12" s="151" t="n"/>
      <c r="E12" s="48" t="inlineStr">
        <is>
          <t>Trạng thái</t>
        </is>
      </c>
      <c r="F12" s="48" t="inlineStr">
        <is>
          <t>Version</t>
        </is>
      </c>
      <c r="G12" s="48" t="inlineStr">
        <is>
          <t>Ngày chốt final</t>
        </is>
      </c>
      <c r="H12" s="48" t="inlineStr">
        <is>
          <t>Người cấp</t>
        </is>
      </c>
      <c r="I12" s="48" t="inlineStr">
        <is>
          <t>Ảnh hưởng nếu chậm</t>
        </is>
      </c>
      <c r="J12" s="15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149">
      <c r="A13" s="1" t="n"/>
      <c r="B13" s="50" t="n">
        <v>1</v>
      </c>
      <c r="C13" s="50" t="inlineStr">
        <is>
          <t>URD Invoice Issuance Architecture</t>
        </is>
      </c>
      <c r="D13" s="151" t="n"/>
      <c r="E13" s="50" t="inlineStr">
        <is>
          <t>Final</t>
        </is>
      </c>
      <c r="F13" s="50" t="inlineStr">
        <is>
          <t>Rev 2.2</t>
        </is>
      </c>
      <c r="G13" s="50" t="inlineStr">
        <is>
          <t>08/10/2026</t>
        </is>
      </c>
      <c r="H13" s="50" t="inlineStr">
        <is>
          <t>BA (Vuongnd17)</t>
        </is>
      </c>
      <c r="I13" s="50" t="inlineStr">
        <is>
          <t>PO đã confirm qua mail PM 13/10/2026</t>
        </is>
      </c>
      <c r="J13" s="15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149">
      <c r="A14" s="1" t="n"/>
      <c r="B14" s="50" t="n">
        <v>2</v>
      </c>
      <c r="C14" s="50" t="inlineStr">
        <is>
          <t>URD Invoice Issuance Architecture — phần kỹ thuật</t>
        </is>
      </c>
      <c r="D14" s="151" t="n"/>
      <c r="E14" s="50" t="inlineStr">
        <is>
          <t>Final</t>
        </is>
      </c>
      <c r="F14" s="50" t="inlineStr">
        <is>
          <t>Rev 2.1</t>
        </is>
      </c>
      <c r="G14" s="50" t="inlineStr">
        <is>
          <t>26/08/2026</t>
        </is>
      </c>
      <c r="H14" s="50" t="inlineStr">
        <is>
          <t>BA (Vuongnd17)</t>
        </is>
      </c>
      <c r="I14" s="50" t="inlineStr">
        <is>
          <t>Tham chiếu kỹ thuật cho Phụ lục D của rev 2.2</t>
        </is>
      </c>
      <c r="J14" s="15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149">
      <c r="A15" s="1" t="n"/>
      <c r="B15" s="50" t="n">
        <v>3</v>
      </c>
      <c r="C15" s="50" t="inlineStr">
        <is>
          <t>Tài liệu tích hợp (log Kafka, schema bảng, API)</t>
        </is>
      </c>
      <c r="D15" s="151" t="n"/>
      <c r="E15" s="50" t="inlineStr">
        <is>
          <t>Draft</t>
        </is>
      </c>
      <c r="F15" s="50" t="inlineStr">
        <is>
          <t>—</t>
        </is>
      </c>
      <c r="G15" s="50" t="inlineStr"/>
      <c r="H15" s="50" t="inlineStr">
        <is>
          <t>Dev Lead / SA</t>
        </is>
      </c>
      <c r="I15" s="50" t="inlineStr">
        <is>
          <t>Chưa nhận — cần có trước Setup data (23/10/2026)</t>
        </is>
      </c>
      <c r="J15" s="15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idden="1" ht="18" customHeight="1" s="149">
      <c r="A16" s="1" t="n"/>
      <c r="B16" s="50" t="n"/>
      <c r="C16" s="50" t="n"/>
      <c r="D16" s="151" t="n"/>
      <c r="E16" s="50" t="n"/>
      <c r="F16" s="50" t="n"/>
      <c r="G16" s="50" t="n"/>
      <c r="H16" s="50" t="n"/>
      <c r="I16" s="50" t="n"/>
      <c r="J16" s="15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149">
      <c r="A18" s="1" t="n"/>
      <c r="B18" s="14" t="inlineStr">
        <is>
          <t>C. HỆ THỐNG LIÊN KẾT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149">
      <c r="A19" s="1" t="n"/>
      <c r="B19" s="48" t="inlineStr">
        <is>
          <t>#</t>
        </is>
      </c>
      <c r="C19" s="48" t="inlineStr">
        <is>
          <t>Hệ thống</t>
        </is>
      </c>
      <c r="D19" s="48" t="inlineStr">
        <is>
          <t>Vai trò</t>
        </is>
      </c>
      <c r="E19" s="48" t="inlineStr">
        <is>
          <t>Loại kết nối</t>
        </is>
      </c>
      <c r="F19" s="48" t="inlineStr">
        <is>
          <t>Chức năng phụ thuộc</t>
        </is>
      </c>
      <c r="G19" s="151" t="n"/>
      <c r="H19" s="48" t="inlineStr">
        <is>
          <t>Mức</t>
        </is>
      </c>
      <c r="I19" s="48" t="inlineStr">
        <is>
          <t>Rủi ro thời gian</t>
        </is>
      </c>
      <c r="J19" s="15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149">
      <c r="A20" s="1" t="n"/>
      <c r="B20" s="50" t="n">
        <v>1</v>
      </c>
      <c r="C20" s="52" t="inlineStr">
        <is>
          <t>Kênh bán Mobile — SaleChannelID 1</t>
        </is>
      </c>
      <c r="D20" s="50" t="inlineStr">
        <is>
          <t>Tạo đơn hàng bán mới / bán thêm cho 20 nhóm dịch vụ</t>
        </is>
      </c>
      <c r="E20" s="50" t="inlineStr">
        <is>
          <t>SPF đồng bộ</t>
        </is>
      </c>
      <c r="F20" s="52" t="inlineStr">
        <is>
          <t>FR01</t>
        </is>
      </c>
      <c r="G20" s="151" t="n"/>
      <c r="H20" s="50" t="inlineStr">
        <is>
          <t>Cao</t>
        </is>
      </c>
      <c r="I20" s="52" t="inlineStr">
        <is>
          <t>Cần tài khoản / cách tạo đơn / chính sách bán trên STG cho kênh</t>
        </is>
      </c>
      <c r="J20" s="15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149">
      <c r="A21" s="1" t="n"/>
      <c r="B21" s="50" t="n">
        <v>2</v>
      </c>
      <c r="C21" s="52" t="inlineStr">
        <is>
          <t>Kênh bán Desktop — SaleChannelID 2</t>
        </is>
      </c>
      <c r="D21" s="50" t="inlineStr">
        <is>
          <t>Tạo đơn hàng bán mới / bán thêm cho 20 nhóm dịch vụ</t>
        </is>
      </c>
      <c r="E21" s="50" t="inlineStr">
        <is>
          <t>SPF đồng bộ</t>
        </is>
      </c>
      <c r="F21" s="52" t="inlineStr">
        <is>
          <t>FR01</t>
        </is>
      </c>
      <c r="G21" s="151" t="n"/>
      <c r="H21" s="50" t="inlineStr">
        <is>
          <t>Cao</t>
        </is>
      </c>
      <c r="I21" s="52" t="inlineStr">
        <is>
          <t>Cần tài khoản / cách tạo đơn / chính sách bán trên STG cho kênh</t>
        </is>
      </c>
      <c r="J21" s="15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75" customHeight="1" s="149">
      <c r="A22" s="1" t="n"/>
      <c r="B22" s="50" t="n">
        <v>3</v>
      </c>
      <c r="C22" s="52" t="inlineStr">
        <is>
          <t>Kênh bán DKOL — SaleChannelID 4</t>
        </is>
      </c>
      <c r="D22" s="50" t="inlineStr">
        <is>
          <t>Tạo đơn hàng bán mới / bán thêm cho 20 nhóm dịch vụ</t>
        </is>
      </c>
      <c r="E22" s="50" t="inlineStr">
        <is>
          <t>SPF đồng bộ</t>
        </is>
      </c>
      <c r="F22" s="52" t="inlineStr">
        <is>
          <t>FR01</t>
        </is>
      </c>
      <c r="G22" s="151" t="n"/>
      <c r="H22" s="50" t="inlineStr">
        <is>
          <t>Cao</t>
        </is>
      </c>
      <c r="I22" s="52" t="inlineStr">
        <is>
          <t>Cần tài khoản / cách tạo đơn / chính sách bán trên STG cho kênh</t>
        </is>
      </c>
      <c r="J22" s="15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9">
      <c r="B23" s="50" t="n">
        <v>4</v>
      </c>
      <c r="C23" s="52" t="inlineStr">
        <is>
          <t>Kênh bán API (partner ngoài FTEL) — SaleChannelID 7</t>
        </is>
      </c>
      <c r="D23" s="50" t="inlineStr">
        <is>
          <t>Tạo đơn hàng bán mới / bán thêm cho 20 nhóm dịch vụ</t>
        </is>
      </c>
      <c r="E23" s="50" t="inlineStr">
        <is>
          <t>SPF đồng bộ</t>
        </is>
      </c>
      <c r="F23" s="52" t="inlineStr">
        <is>
          <t>FR01</t>
        </is>
      </c>
      <c r="G23" s="151" t="n"/>
      <c r="H23" s="50" t="inlineStr">
        <is>
          <t>Cao</t>
        </is>
      </c>
      <c r="I23" s="52" t="inlineStr">
        <is>
          <t>Cần tài khoản / cách tạo đơn / chính sách bán trên STG cho kênh</t>
        </is>
      </c>
      <c r="J23" s="151" t="n"/>
      <c r="K23" s="1" t="n"/>
    </row>
    <row r="24" ht="15.75" customHeight="1" s="149">
      <c r="B24" s="50" t="n">
        <v>5</v>
      </c>
      <c r="C24" s="52" t="inlineStr">
        <is>
          <t>Kênh bán W-Sale — SaleChannelID 9</t>
        </is>
      </c>
      <c r="D24" s="50" t="inlineStr">
        <is>
          <t>Tạo đơn hàng bán mới / bán thêm cho 20 nhóm dịch vụ</t>
        </is>
      </c>
      <c r="E24" s="50" t="inlineStr">
        <is>
          <t>SPF đồng bộ</t>
        </is>
      </c>
      <c r="F24" s="52" t="inlineStr">
        <is>
          <t>FR01</t>
        </is>
      </c>
      <c r="G24" s="151" t="n"/>
      <c r="H24" s="50" t="inlineStr">
        <is>
          <t>Cao</t>
        </is>
      </c>
      <c r="I24" s="52" t="inlineStr">
        <is>
          <t>Cần tài khoản / cách tạo đơn / chính sách bán trên STG cho kênh</t>
        </is>
      </c>
      <c r="J24" s="151" t="n"/>
      <c r="K24" s="1" t="n"/>
    </row>
    <row r="25" ht="21.75" customHeight="1" s="149">
      <c r="B25" s="50" t="n">
        <v>6</v>
      </c>
      <c r="C25" s="52" t="inlineStr">
        <is>
          <t>Kênh bán FPL (FPT Play) — SaleChannelID 10</t>
        </is>
      </c>
      <c r="D25" s="50" t="inlineStr">
        <is>
          <t>Tạo đơn hàng bán mới / bán thêm cho 20 nhóm dịch vụ</t>
        </is>
      </c>
      <c r="E25" s="50" t="inlineStr">
        <is>
          <t>SPF đồng bộ</t>
        </is>
      </c>
      <c r="F25" s="52" t="inlineStr">
        <is>
          <t>FR01, FR02</t>
        </is>
      </c>
      <c r="G25" s="151" t="n"/>
      <c r="H25" s="50" t="inlineStr">
        <is>
          <t>Cao</t>
        </is>
      </c>
      <c r="I25" s="52" t="inlineStr">
        <is>
          <t>Cần tài khoản / cách tạo đơn / chính sách bán trên STG cho kênh</t>
        </is>
      </c>
      <c r="J25" s="151" t="n"/>
      <c r="K25" s="1" t="n"/>
    </row>
    <row r="26" ht="30" customHeight="1" s="149">
      <c r="B26" s="50" t="n">
        <v>7</v>
      </c>
      <c r="C26" s="52" t="inlineStr">
        <is>
          <t>Kênh bán VNTT — SaleChannelID 11</t>
        </is>
      </c>
      <c r="D26" s="50" t="inlineStr">
        <is>
          <t>Tạo đơn hàng bán mới / bán thêm cho 20 nhóm dịch vụ</t>
        </is>
      </c>
      <c r="E26" s="50" t="inlineStr">
        <is>
          <t>SPF đồng bộ</t>
        </is>
      </c>
      <c r="F26" s="52" t="inlineStr">
        <is>
          <t>FR01</t>
        </is>
      </c>
      <c r="G26" s="151" t="n"/>
      <c r="H26" s="50" t="inlineStr">
        <is>
          <t>Cao</t>
        </is>
      </c>
      <c r="I26" s="52" t="inlineStr">
        <is>
          <t>Cần tài khoản / cách tạo đơn / chính sách bán trên STG cho kênh</t>
        </is>
      </c>
      <c r="J26" s="151" t="n"/>
      <c r="K26" s="1" t="n"/>
    </row>
    <row r="27" ht="21.75" customHeight="1" s="149">
      <c r="B27" s="50" t="n">
        <v>8</v>
      </c>
      <c r="C27" s="52" t="inlineStr">
        <is>
          <t>Kênh bán MBBank — SaleChannelID 12</t>
        </is>
      </c>
      <c r="D27" s="50" t="inlineStr">
        <is>
          <t>Tạo đơn hàng bán mới / bán thêm cho 20 nhóm dịch vụ</t>
        </is>
      </c>
      <c r="E27" s="50" t="inlineStr">
        <is>
          <t>SPF đồng bộ</t>
        </is>
      </c>
      <c r="F27" s="52" t="inlineStr">
        <is>
          <t>FR01</t>
        </is>
      </c>
      <c r="G27" s="151" t="n"/>
      <c r="H27" s="50" t="inlineStr">
        <is>
          <t>Cao</t>
        </is>
      </c>
      <c r="I27" s="52" t="inlineStr">
        <is>
          <t>Cần tài khoản / cách tạo đơn / chính sách bán trên STG cho kênh</t>
        </is>
      </c>
      <c r="J27" s="151" t="n"/>
      <c r="K27" s="1" t="n"/>
    </row>
    <row r="28" ht="21.75" customHeight="1" s="149">
      <c r="B28" s="50" t="n">
        <v>9</v>
      </c>
      <c r="C28" s="52" t="inlineStr">
        <is>
          <t>Kênh bán CRM — SaleChannelID 13</t>
        </is>
      </c>
      <c r="D28" s="50" t="inlineStr">
        <is>
          <t>Tạo đơn hàng bán mới / bán thêm cho 20 nhóm dịch vụ</t>
        </is>
      </c>
      <c r="E28" s="50" t="inlineStr">
        <is>
          <t>SPF đồng bộ</t>
        </is>
      </c>
      <c r="F28" s="52" t="inlineStr">
        <is>
          <t>FR01</t>
        </is>
      </c>
      <c r="G28" s="151" t="n"/>
      <c r="H28" s="50" t="inlineStr">
        <is>
          <t>Cao</t>
        </is>
      </c>
      <c r="I28" s="52" t="inlineStr">
        <is>
          <t>Cần tài khoản / cách tạo đơn / chính sách bán trên STG cho kênh</t>
        </is>
      </c>
      <c r="J28" s="151" t="n"/>
      <c r="K28" s="1" t="n"/>
    </row>
    <row r="29" ht="21.75" customHeight="1" s="149">
      <c r="B29" s="50" t="n">
        <v>10</v>
      </c>
      <c r="C29" s="52" t="inlineStr">
        <is>
          <t>Kênh bán TGDD — SaleChannelID 14</t>
        </is>
      </c>
      <c r="D29" s="50" t="inlineStr">
        <is>
          <t>Tạo đơn hàng bán mới / bán thêm cho 20 nhóm dịch vụ</t>
        </is>
      </c>
      <c r="E29" s="50" t="inlineStr">
        <is>
          <t>SPF đồng bộ</t>
        </is>
      </c>
      <c r="F29" s="52" t="inlineStr">
        <is>
          <t>FR01</t>
        </is>
      </c>
      <c r="G29" s="151" t="n"/>
      <c r="H29" s="50" t="inlineStr">
        <is>
          <t>Cao</t>
        </is>
      </c>
      <c r="I29" s="52" t="inlineStr">
        <is>
          <t>Cần tài khoản / cách tạo đơn / chính sách bán trên STG cho kênh</t>
        </is>
      </c>
      <c r="J29" s="151" t="n"/>
      <c r="K29" s="1" t="n"/>
    </row>
    <row r="30" ht="21.75" customHeight="1" s="149">
      <c r="B30" s="50" t="n">
        <v>11</v>
      </c>
      <c r="C30" s="52" t="inlineStr">
        <is>
          <t>Kênh bán F-Retail (FPT Shop) — SaleChannelID 15</t>
        </is>
      </c>
      <c r="D30" s="50" t="inlineStr">
        <is>
          <t>Tạo đơn hàng bán mới / bán thêm cho 20 nhóm dịch vụ</t>
        </is>
      </c>
      <c r="E30" s="50" t="inlineStr">
        <is>
          <t>SPF đồng bộ</t>
        </is>
      </c>
      <c r="F30" s="52" t="inlineStr">
        <is>
          <t>FR01</t>
        </is>
      </c>
      <c r="G30" s="151" t="n"/>
      <c r="H30" s="50" t="inlineStr">
        <is>
          <t>Cao</t>
        </is>
      </c>
      <c r="I30" s="52" t="inlineStr">
        <is>
          <t>Cần tài khoản / cách tạo đơn / chính sách bán trên STG cho kênh</t>
        </is>
      </c>
      <c r="J30" s="151" t="n"/>
      <c r="K30" s="1" t="n"/>
    </row>
    <row r="31" ht="21.75" customHeight="1" s="149">
      <c r="B31" s="50" t="n">
        <v>12</v>
      </c>
      <c r="C31" s="52" t="inlineStr">
        <is>
          <t>Kênh bán CMR-App (FSS) — SaleChannelID 16</t>
        </is>
      </c>
      <c r="D31" s="50" t="inlineStr">
        <is>
          <t>Tạo đơn hàng bán mới / bán thêm cho 20 nhóm dịch vụ</t>
        </is>
      </c>
      <c r="E31" s="50" t="inlineStr">
        <is>
          <t>SPF đồng bộ</t>
        </is>
      </c>
      <c r="F31" s="52" t="inlineStr">
        <is>
          <t>FR01</t>
        </is>
      </c>
      <c r="G31" s="151" t="n"/>
      <c r="H31" s="50" t="inlineStr">
        <is>
          <t>Cao</t>
        </is>
      </c>
      <c r="I31" s="52" t="inlineStr">
        <is>
          <t>Cần tài khoản / cách tạo đơn / chính sách bán trên STG cho kênh</t>
        </is>
      </c>
      <c r="J31" s="151" t="n"/>
      <c r="K31" s="1" t="n"/>
    </row>
    <row r="32" ht="21.75" customHeight="1" s="149">
      <c r="B32" s="50" t="n">
        <v>13</v>
      </c>
      <c r="C32" s="52" t="inlineStr">
        <is>
          <t>Kênh bán Momo — SaleChannelID 17</t>
        </is>
      </c>
      <c r="D32" s="50" t="inlineStr">
        <is>
          <t>Tạo đơn hàng bán mới / bán thêm cho 20 nhóm dịch vụ</t>
        </is>
      </c>
      <c r="E32" s="50" t="inlineStr">
        <is>
          <t>SPF đồng bộ</t>
        </is>
      </c>
      <c r="F32" s="52" t="inlineStr">
        <is>
          <t>FR01</t>
        </is>
      </c>
      <c r="G32" s="151" t="n"/>
      <c r="H32" s="50" t="inlineStr">
        <is>
          <t>Cao</t>
        </is>
      </c>
      <c r="I32" s="52" t="inlineStr">
        <is>
          <t>Cần tài khoản / cách tạo đơn / chính sách bán trên STG cho kênh</t>
        </is>
      </c>
      <c r="J32" s="151" t="n"/>
      <c r="K32" s="1" t="n"/>
    </row>
    <row r="33" ht="19.5" customHeight="1" s="149">
      <c r="B33" s="50" t="n">
        <v>14</v>
      </c>
      <c r="C33" s="52" t="inlineStr">
        <is>
          <t>Kênh bán SR-KPDV — SaleChannelID 18</t>
        </is>
      </c>
      <c r="D33" s="50" t="inlineStr">
        <is>
          <t>Tạo đơn hàng bán mới / bán thêm cho 20 nhóm dịch vụ</t>
        </is>
      </c>
      <c r="E33" s="50" t="inlineStr">
        <is>
          <t>SPF đồng bộ</t>
        </is>
      </c>
      <c r="F33" s="52" t="inlineStr">
        <is>
          <t>FR01</t>
        </is>
      </c>
      <c r="G33" s="151" t="n"/>
      <c r="H33" s="50" t="inlineStr">
        <is>
          <t>Cao</t>
        </is>
      </c>
      <c r="I33" s="52" t="inlineStr">
        <is>
          <t>Cần tài khoản / cách tạo đơn / chính sách bán trên STG cho kênh</t>
        </is>
      </c>
      <c r="J33" s="151" t="n"/>
      <c r="K33" s="1" t="n"/>
    </row>
    <row r="34" ht="18" customHeight="1" s="149">
      <c r="B34" s="50" t="n">
        <v>15</v>
      </c>
      <c r="C34" s="52" t="inlineStr">
        <is>
          <t>Kênh bán HiFPT — SaleChannelID 19</t>
        </is>
      </c>
      <c r="D34" s="50" t="inlineStr">
        <is>
          <t>Tạo đơn hàng bán mới / bán thêm cho 20 nhóm dịch vụ</t>
        </is>
      </c>
      <c r="E34" s="50" t="inlineStr">
        <is>
          <t>SPF đồng bộ</t>
        </is>
      </c>
      <c r="F34" s="52" t="inlineStr">
        <is>
          <t>FR01</t>
        </is>
      </c>
      <c r="G34" s="151" t="n"/>
      <c r="H34" s="50" t="inlineStr">
        <is>
          <t>Cao</t>
        </is>
      </c>
      <c r="I34" s="52" t="inlineStr">
        <is>
          <t>Cần tài khoản / cách tạo đơn / chính sách bán trên STG cho kênh</t>
        </is>
      </c>
      <c r="J34" s="151" t="n"/>
      <c r="K34" s="1" t="n"/>
    </row>
    <row r="35" ht="15.75" customHeight="1" s="149">
      <c r="B35" s="50" t="n">
        <v>16</v>
      </c>
      <c r="C35" s="52" t="inlineStr">
        <is>
          <t>Kênh bán Shopee — SaleChannelID 20</t>
        </is>
      </c>
      <c r="D35" s="50" t="inlineStr">
        <is>
          <t>Tạo đơn hàng bán mới / bán thêm cho 20 nhóm dịch vụ</t>
        </is>
      </c>
      <c r="E35" s="50" t="inlineStr">
        <is>
          <t>SPF đồng bộ</t>
        </is>
      </c>
      <c r="F35" s="52" t="inlineStr">
        <is>
          <t>FR01, FR08</t>
        </is>
      </c>
      <c r="G35" s="151" t="n"/>
      <c r="H35" s="50" t="inlineStr">
        <is>
          <t>Cao</t>
        </is>
      </c>
      <c r="I35" s="52" t="inlineStr">
        <is>
          <t>Cần tài khoản / cách tạo đơn / chính sách bán trên STG cho kênh</t>
        </is>
      </c>
      <c r="J35" s="151" t="n"/>
      <c r="K35" s="1" t="n"/>
    </row>
    <row r="36" ht="15.75" customHeight="1" s="149">
      <c r="B36" s="50" t="n">
        <v>17</v>
      </c>
      <c r="C36" s="52" t="inlineStr">
        <is>
          <t>Kênh bán Tiktok — SaleChannelID 21</t>
        </is>
      </c>
      <c r="D36" s="50" t="inlineStr">
        <is>
          <t>Tạo đơn hàng bán mới / bán thêm cho 20 nhóm dịch vụ</t>
        </is>
      </c>
      <c r="E36" s="50" t="inlineStr">
        <is>
          <t>SPF đồng bộ</t>
        </is>
      </c>
      <c r="F36" s="52" t="inlineStr">
        <is>
          <t>FR01, FR08</t>
        </is>
      </c>
      <c r="G36" s="151" t="n"/>
      <c r="H36" s="50" t="inlineStr">
        <is>
          <t>Cao</t>
        </is>
      </c>
      <c r="I36" s="52" t="inlineStr">
        <is>
          <t>Cần tài khoản / cách tạo đơn / chính sách bán trên STG cho kênh</t>
        </is>
      </c>
      <c r="J36" s="151" t="n"/>
      <c r="K36" s="1" t="n"/>
    </row>
    <row r="37" ht="15.75" customHeight="1" s="149">
      <c r="B37" s="50" t="n">
        <v>18</v>
      </c>
      <c r="C37" s="52" t="inlineStr">
        <is>
          <t>SPF</t>
        </is>
      </c>
      <c r="D37" s="50" t="inlineStr">
        <is>
          <t>Nguồn sự kiện đơn hàng</t>
        </is>
      </c>
      <c r="E37" s="50" t="inlineStr">
        <is>
          <t>Kafka (Order Event)</t>
        </is>
      </c>
      <c r="F37" s="52" t="inlineStr">
        <is>
          <t>XHD</t>
        </is>
      </c>
      <c r="G37" s="151" t="n"/>
      <c r="H37" s="50" t="inlineStr">
        <is>
          <t>Cao</t>
        </is>
      </c>
      <c r="I37" s="52" t="inlineStr">
        <is>
          <t>Log Kafka trùng / đảo thứ tự / trễ</t>
        </is>
      </c>
      <c r="J37" s="151" t="n"/>
      <c r="K37" s="1" t="n"/>
    </row>
    <row r="38" ht="21.75" customHeight="1" s="149">
      <c r="B38" s="50" t="n">
        <v>19</v>
      </c>
      <c r="C38" s="52" t="inlineStr">
        <is>
          <t>Billing System</t>
        </is>
      </c>
      <c r="D38" s="50" t="inlineStr">
        <is>
          <t>Phát hành hóa đơn</t>
        </is>
      </c>
      <c r="E38" s="50" t="inlineStr">
        <is>
          <t>API</t>
        </is>
      </c>
      <c r="F38" s="52" t="inlineStr">
        <is>
          <t>XHD</t>
        </is>
      </c>
      <c r="G38" s="151" t="n"/>
      <c r="H38" s="50" t="inlineStr">
        <is>
          <t>Cao</t>
        </is>
      </c>
      <c r="I38" s="52" t="inlineStr">
        <is>
          <t>Không sẵn sàng trên STG</t>
        </is>
      </c>
      <c r="J38" s="151" t="n"/>
      <c r="K38" s="1" t="n"/>
    </row>
    <row r="39" ht="18" customHeight="1" s="149">
      <c r="B39" s="50" t="n">
        <v>20</v>
      </c>
      <c r="C39" s="52" t="inlineStr">
        <is>
          <t>Phiếu thi công</t>
        </is>
      </c>
      <c r="D39" s="50" t="inlineStr">
        <is>
          <t>Tín hiệu giao hàng hoàn tất khi phiếu ở tình trạng "Đã xử lý hoàn tất"</t>
        </is>
      </c>
      <c r="E39" s="50" t="inlineStr">
        <is>
          <t>Tín hiệu đẩy về INVOICE</t>
        </is>
      </c>
      <c r="F39" s="52" t="inlineStr">
        <is>
          <t>FR01</t>
        </is>
      </c>
      <c r="G39" s="151" t="n"/>
      <c r="H39" s="50" t="inlineStr">
        <is>
          <t>Cao</t>
        </is>
      </c>
      <c r="I39" s="52" t="inlineStr">
        <is>
          <t>Cần cách phát tín hiệu trên STG</t>
        </is>
      </c>
      <c r="J39" s="151" t="n"/>
      <c r="K39" s="1" t="n"/>
    </row>
    <row r="40" ht="18" customHeight="1" s="149">
      <c r="B40" s="50" t="n">
        <v>21</v>
      </c>
      <c r="C40" s="52" t="inlineStr">
        <is>
          <t>Vendor</t>
        </is>
      </c>
      <c r="D40" s="50" t="inlineStr">
        <is>
          <t>Tín hiệu giao hàng hoàn tất khi đối tác giao xong</t>
        </is>
      </c>
      <c r="E40" s="50" t="inlineStr">
        <is>
          <t>Tín hiệu đẩy về INVOICE</t>
        </is>
      </c>
      <c r="F40" s="52" t="inlineStr">
        <is>
          <t>FR01</t>
        </is>
      </c>
      <c r="G40" s="151" t="n"/>
      <c r="H40" s="50" t="inlineStr">
        <is>
          <t>Cao</t>
        </is>
      </c>
      <c r="I40" s="52" t="inlineStr">
        <is>
          <t>Cần cách phát tín hiệu trên STG</t>
        </is>
      </c>
      <c r="J40" s="151" t="n"/>
      <c r="K40" s="1" t="n"/>
    </row>
    <row r="41" ht="18" customHeight="1" s="149">
      <c r="B41" s="50" t="n">
        <v>22</v>
      </c>
      <c r="C41" s="52" t="inlineStr">
        <is>
          <t>Quầy (phiếu giao tại quầy)</t>
        </is>
      </c>
      <c r="D41" s="50" t="inlineStr">
        <is>
          <t>Tín hiệu giao hàng hoàn tất khi giao tại quầy</t>
        </is>
      </c>
      <c r="E41" s="50" t="inlineStr">
        <is>
          <t>Tín hiệu đẩy về INVOICE</t>
        </is>
      </c>
      <c r="F41" s="52" t="inlineStr">
        <is>
          <t>FR01</t>
        </is>
      </c>
      <c r="G41" s="151" t="n"/>
      <c r="H41" s="50" t="inlineStr">
        <is>
          <t>Cao</t>
        </is>
      </c>
      <c r="I41" s="52" t="inlineStr">
        <is>
          <t>Cần cách phát tín hiệu trên STG</t>
        </is>
      </c>
      <c r="J41" s="151" t="n"/>
      <c r="K41" s="1" t="n"/>
    </row>
    <row r="42" ht="18" customHeight="1" s="149">
      <c r="B42" s="50" t="n">
        <v>23</v>
      </c>
      <c r="C42" s="52" t="inlineStr">
        <is>
          <t>Kênh thanh toán / đội EVC</t>
        </is>
      </c>
      <c r="D42" s="50" t="inlineStr">
        <is>
          <t>Paid, Cọc, tiền EVC + lock</t>
        </is>
      </c>
      <c r="E42" s="50" t="inlineStr">
        <is>
          <t>API, Kafka Out</t>
        </is>
      </c>
      <c r="F42" s="52" t="inlineStr">
        <is>
          <t>GN</t>
        </is>
      </c>
      <c r="G42" s="151" t="n"/>
      <c r="H42" s="50" t="inlineStr">
        <is>
          <t>Cao</t>
        </is>
      </c>
      <c r="I42" s="52" t="inlineStr">
        <is>
          <t>Cần hệ thống giả lập khi STG chưa sẵn sàng</t>
        </is>
      </c>
      <c r="J42" s="151" t="n"/>
      <c r="K42" s="1" t="n"/>
    </row>
    <row r="43" ht="15.75" customHeight="1" s="149">
      <c r="B43" s="50" t="n">
        <v>24</v>
      </c>
      <c r="C43" s="52" t="inlineStr">
        <is>
          <t>Hóa đơn điện tử (HĐĐT)</t>
        </is>
      </c>
      <c r="D43" s="50" t="inlineStr">
        <is>
          <t>Nhận HĐĐT hậu kỳ</t>
        </is>
      </c>
      <c r="E43" s="50" t="inlineStr">
        <is>
          <t>API</t>
        </is>
      </c>
      <c r="F43" s="52" t="inlineStr">
        <is>
          <t>HK</t>
        </is>
      </c>
      <c r="G43" s="151" t="n"/>
      <c r="H43" s="50" t="inlineStr">
        <is>
          <t>Cao</t>
        </is>
      </c>
      <c r="I43" s="52" t="inlineStr">
        <is>
          <t>Không sẵn sàng trên STG</t>
        </is>
      </c>
      <c r="J43" s="151" t="n"/>
      <c r="K43" s="1" t="n"/>
    </row>
    <row r="44" ht="15.75" customHeight="1" s="149">
      <c r="B44" s="50" t="n">
        <v>25</v>
      </c>
      <c r="C44" s="52" t="inlineStr">
        <is>
          <t>Hệ thống Dịch vụ</t>
        </is>
      </c>
      <c r="D44" s="50" t="inlineStr">
        <is>
          <t>Nhận tiền trả trước</t>
        </is>
      </c>
      <c r="E44" s="50" t="inlineStr">
        <is>
          <t>API</t>
        </is>
      </c>
      <c r="F44" s="52" t="inlineStr">
        <is>
          <t>HK</t>
        </is>
      </c>
      <c r="G44" s="151" t="n"/>
      <c r="H44" s="50" t="inlineStr">
        <is>
          <t>TB</t>
        </is>
      </c>
      <c r="I44" s="52" t="inlineStr">
        <is>
          <t>Không sẵn sàng trên STG</t>
        </is>
      </c>
      <c r="J44" s="151" t="n"/>
      <c r="K44" s="1" t="n"/>
    </row>
    <row r="45" ht="15.75" customHeight="1" s="149">
      <c r="A45" s="1" t="n"/>
      <c r="B45" s="167" t="inlineStr">
        <is>
          <t>Tổng số hệ thống liên kết</t>
        </is>
      </c>
      <c r="C45" s="153" t="n"/>
      <c r="D45" s="153" t="n"/>
      <c r="E45" s="153" t="n"/>
      <c r="F45" s="153" t="n"/>
      <c r="G45" s="151" t="n"/>
      <c r="H45" s="60">
        <f>COUNTIF(C20:C44,"?*")</f>
        <v/>
      </c>
      <c r="I45" s="153" t="n"/>
      <c r="J45" s="15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4" t="inlineStr">
        <is>
          <t>D. SCOPE TEST — TRONG / NGOÀI + INPUT/OUTPUT</t>
        </is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55" t="inlineStr">
        <is>
          <t>ID</t>
        </is>
      </c>
      <c r="C48" s="55" t="inlineStr">
        <is>
          <t>Chức năng (In-scope)</t>
        </is>
      </c>
      <c r="D48" s="55" t="inlineStr">
        <is>
          <t>Nhóm</t>
        </is>
      </c>
      <c r="E48" s="55" t="inlineStr">
        <is>
          <t>Ưu tiên</t>
        </is>
      </c>
      <c r="F48" s="55" t="inlineStr">
        <is>
          <t>HT phụ thuộc</t>
        </is>
      </c>
      <c r="G48" s="55" t="inlineStr">
        <is>
          <t>Input cần có</t>
        </is>
      </c>
      <c r="H48" s="55" t="inlineStr">
        <is>
          <t>Output kỳ vọng</t>
        </is>
      </c>
      <c r="I48" s="151" t="n"/>
      <c r="J48" s="55" t="inlineStr">
        <is>
          <t>Est #TC</t>
        </is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57" t="inlineStr">
        <is>
          <t>FR01</t>
        </is>
      </c>
      <c r="C49" s="58" t="inlineStr">
        <is>
          <t>Đồng bộ đơn hàng SPF → INVOICE: tạo đơn từ 17 kênh bán × 20 nhóm dịch vụ × bán mới / bán thêm; tín hiệu giao hàng 3 nguồn; thông tin khách xuất hóa đơn</t>
        </is>
      </c>
      <c r="D49" s="57" t="inlineStr">
        <is>
          <t>XHD</t>
        </is>
      </c>
      <c r="E49" s="57" t="inlineStr">
        <is>
          <t>High (P1)</t>
        </is>
      </c>
      <c r="F49" s="58" t="inlineStr">
        <is>
          <t>SPF</t>
        </is>
      </c>
      <c r="G49" s="58" t="inlineStr">
        <is>
          <t>Đơn hàng tạo trên 17 kênh bán (§A.2) × 20 nhóm dịch vụ (§A.3) × bán mới / bán thêm; sự kiện đơn SPF (Kafka); tín hiệu phiếu thi công / Vendor / quầy; thông tin hợp đồng / khách FPL tự nhập</t>
        </is>
      </c>
      <c r="H49" s="58" t="inlineStr">
        <is>
          <t>Ghi nhận đủ đơn của 17 kênh bán × 20 nhóm dịch vụ, cả bán mới và bán thêm (340 tổ hợp × 2 = 680 đơn); thiết bị map đúng tín hiệu giao hàng; thông tin khách đúng trên hóa đơn</t>
        </is>
      </c>
      <c r="I49" s="151" t="n"/>
      <c r="J49" s="57" t="n">
        <v>756</v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57" t="inlineStr">
        <is>
          <t>FR02</t>
        </is>
      </c>
      <c r="C50" s="58" t="inlineStr">
        <is>
          <t>Lịch xuất hóa đơn + phân luồng worker / realtime (gồm kênh FPL)</t>
        </is>
      </c>
      <c r="D50" s="57" t="inlineStr">
        <is>
          <t>XHD</t>
        </is>
      </c>
      <c r="E50" s="57" t="inlineStr">
        <is>
          <t>High (P1)</t>
        </is>
      </c>
      <c r="F50" s="58" t="inlineStr">
        <is>
          <t>FR01</t>
        </is>
      </c>
      <c r="G50" s="58" t="inlineStr">
        <is>
          <t>Lịch tham số 12:05 / 18:05, giờ chốt; lịch FPL 2h/lần, mốc 22:05, delay 2h</t>
        </is>
      </c>
      <c r="H50" s="58" t="inlineStr">
        <is>
          <t>Dòng đi đúng luồng worker / realtime, đúng mốc FPL; xuất hóa đơn được đủ các dịch vụ, các kênh bán hàng, các đơn bán mới / bán thêm</t>
        </is>
      </c>
      <c r="I50" s="151" t="n"/>
      <c r="J50" s="57" t="n">
        <v>48</v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57" t="inlineStr">
        <is>
          <t>FR03</t>
        </is>
      </c>
      <c r="C51" s="58" t="inlineStr">
        <is>
          <t>Điều kiện phát hành DV / TB (PĐK, hợp đồng con) + điều kiện hợp lệ</t>
        </is>
      </c>
      <c r="D51" s="57" t="inlineStr">
        <is>
          <t>XHD</t>
        </is>
      </c>
      <c r="E51" s="57" t="inlineStr">
        <is>
          <t>High (P1)</t>
        </is>
      </c>
      <c r="F51" s="58" t="inlineStr">
        <is>
          <t>FR01</t>
        </is>
      </c>
      <c r="G51" s="58" t="inlineStr">
        <is>
          <t>Tín hiệu thanh toán / giao hàng; HĐ tổ chức, HĐ con; thông tin chung + chi tiết dịch vụ của đơn</t>
        </is>
      </c>
      <c r="H51" s="58" t="inlineStr">
        <is>
          <t>Đơn đủ điều kiện được phát hành; không hợp lệ thì không phát hành + ghi log; xuất hóa đơn được đủ các dịch vụ, các kênh bán hàng, các đơn bán mới / bán thêm</t>
        </is>
      </c>
      <c r="I51" s="151" t="n"/>
      <c r="J51" s="57" t="n">
        <v>109</v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57" t="inlineStr">
        <is>
          <t>FR04</t>
        </is>
      </c>
      <c r="C52" s="58" t="inlineStr">
        <is>
          <t>Gộp / tách hóa đơn (1 đơn n hóa đơn) + chống phát hành trùng</t>
        </is>
      </c>
      <c r="D52" s="57" t="inlineStr">
        <is>
          <t>XHD</t>
        </is>
      </c>
      <c r="E52" s="57" t="inlineStr">
        <is>
          <t>High (P1)</t>
        </is>
      </c>
      <c r="F52" s="58" t="inlineStr">
        <is>
          <t>FR02, FR03</t>
        </is>
      </c>
      <c r="G52" s="58" t="inlineStr">
        <is>
          <t>Các dòng DV / TB đủ điều kiện trong cùng đợt; dòng đã có BillNumber, log Kafka lặp</t>
        </is>
      </c>
      <c r="H52" s="58" t="inlineStr">
        <is>
          <t>1..n hóa đơn đúng cách gộp / tách; mỗi dòng chỉ xuất hóa đơn một lần; xuất hóa đơn được đủ các dịch vụ, các kênh bán hàng, các đơn bán mới / bán thêm</t>
        </is>
      </c>
      <c r="I52" s="151" t="n"/>
      <c r="J52" s="57" t="n">
        <v>53</v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57" t="inlineStr">
        <is>
          <t>FR05</t>
        </is>
      </c>
      <c r="C53" s="58" t="inlineStr">
        <is>
          <t>Phát hành hóa đơn qua Billing + Invoice Event + chi nhánh xuất hóa đơn</t>
        </is>
      </c>
      <c r="D53" s="57" t="inlineStr">
        <is>
          <t>XHD</t>
        </is>
      </c>
      <c r="E53" s="57" t="inlineStr">
        <is>
          <t>High (P1)</t>
        </is>
      </c>
      <c r="F53" s="58" t="inlineStr">
        <is>
          <t>FR04</t>
        </is>
      </c>
      <c r="G53" s="58" t="inlineStr">
        <is>
          <t>Dòng đủ điều kiện; chi nhánh quản lý hợp đồng</t>
        </is>
      </c>
      <c r="H53" s="58" t="inlineStr">
        <is>
          <t>BillNumber, BillDate, chi nhánh đúng; Invoice Event cho gạch nợ / hậu kỳ; xuất hóa đơn được đủ các dịch vụ, các kênh bán hàng, các đơn bán mới / bán thêm</t>
        </is>
      </c>
      <c r="I53" s="151" t="n"/>
      <c r="J53" s="57" t="n">
        <v>37</v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57" t="inlineStr">
        <is>
          <t>FR06</t>
        </is>
      </c>
      <c r="C54" s="58" t="inlineStr">
        <is>
          <t>Cutover v1 → v2 + kiểm tra chéo</t>
        </is>
      </c>
      <c r="D54" s="57" t="inlineStr">
        <is>
          <t>XHD</t>
        </is>
      </c>
      <c r="E54" s="57" t="inlineStr">
        <is>
          <t>Medium (P2)</t>
        </is>
      </c>
      <c r="F54" s="58" t="inlineStr">
        <is>
          <t>FR05</t>
        </is>
      </c>
      <c r="G54" s="58" t="inlineStr">
        <is>
          <t>Đơn luồng cũ / luồng mới</t>
        </is>
      </c>
      <c r="H54" s="58" t="inlineStr">
        <is>
          <t>Không mất / trùng hóa đơn khi chuyển</t>
        </is>
      </c>
      <c r="I54" s="151" t="n"/>
      <c r="J54" s="57" t="n">
        <v>18</v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B55" s="57" t="inlineStr">
        <is>
          <t>FR07</t>
        </is>
      </c>
      <c r="C55" s="58" t="inlineStr">
        <is>
          <t>Đồng bộ Paid + điểm chạm + xác định phương thức Paid / Cọc</t>
        </is>
      </c>
      <c r="D55" s="57" t="inlineStr">
        <is>
          <t>GN</t>
        </is>
      </c>
      <c r="E55" s="57" t="inlineStr">
        <is>
          <t>High (P1)</t>
        </is>
      </c>
      <c r="F55" s="58" t="inlineStr">
        <is>
          <t>FR05</t>
        </is>
      </c>
      <c r="G55" s="58" t="inlineStr">
        <is>
          <t>Paid từ kênh thanh toán; 3 điểm chạm; trường Paid / Cọc</t>
        </is>
      </c>
      <c r="H55" s="58" t="inlineStr">
        <is>
          <t>Paid ghi nhận vào INVOICE; rẽ đúng luồng gạch nợ</t>
        </is>
      </c>
      <c r="I55" s="151" t="n"/>
      <c r="J55" s="57" t="n">
        <v>48</v>
      </c>
      <c r="K55" s="1" t="n"/>
    </row>
    <row r="56" ht="15.75" customHeight="1" s="149">
      <c r="B56" s="57" t="inlineStr">
        <is>
          <t>FR08</t>
        </is>
      </c>
      <c r="C56" s="58" t="inlineStr">
        <is>
          <t>Gạch nợ bằng Paid: gạch nợ tạm (kênh sàn), gạch nợ thật, chừa phần EVC bị lock</t>
        </is>
      </c>
      <c r="D56" s="57" t="inlineStr">
        <is>
          <t>GN</t>
        </is>
      </c>
      <c r="E56" s="57" t="inlineStr">
        <is>
          <t>High (P1)</t>
        </is>
      </c>
      <c r="F56" s="58" t="inlineStr">
        <is>
          <t>FR07</t>
        </is>
      </c>
      <c r="G56" s="58" t="inlineStr">
        <is>
          <t>Đơn kênh Shopee, Tiktok; Paid hoàn tất, hóa đơn còn nợ; tổng tiền EVC + lock</t>
        </is>
      </c>
      <c r="H56" s="58" t="inlineStr">
        <is>
          <t>Gạch nợ tạm / gỡ đúng; Payment, trừ Paid, Kafka Out; phần EVC không bị gạch bằng tiền khách</t>
        </is>
      </c>
      <c r="I56" s="151" t="n"/>
      <c r="J56" s="57" t="n">
        <v>66</v>
      </c>
      <c r="K56" s="1" t="n"/>
    </row>
    <row r="57" ht="15.75" customHeight="1" s="149">
      <c r="B57" s="57" t="inlineStr">
        <is>
          <t>FR09</t>
        </is>
      </c>
      <c r="C57" s="58" t="inlineStr">
        <is>
          <t>Gạch nợ bằng Cọc</t>
        </is>
      </c>
      <c r="D57" s="57" t="inlineStr">
        <is>
          <t>GN</t>
        </is>
      </c>
      <c r="E57" s="57" t="inlineStr">
        <is>
          <t>High (P1)</t>
        </is>
      </c>
      <c r="F57" s="58" t="inlineStr">
        <is>
          <t>FR07</t>
        </is>
      </c>
      <c r="G57" s="58" t="inlineStr">
        <is>
          <t>Tồn cọc theo loại, đơn bán mới / bán thêm</t>
        </is>
      </c>
      <c r="H57" s="58" t="inlineStr">
        <is>
          <t>Trừ cọc + gạch nợ đúng</t>
        </is>
      </c>
      <c r="I57" s="151" t="n"/>
      <c r="J57" s="57" t="n">
        <v>40</v>
      </c>
      <c r="K57" s="1" t="n"/>
    </row>
    <row r="58" ht="15.75" customHeight="1" s="149">
      <c r="B58" s="57" t="inlineStr">
        <is>
          <t>FR10</t>
        </is>
      </c>
      <c r="C58" s="58" t="inlineStr">
        <is>
          <t>Đẩy hậu kỳ theo đơn: ký hiệu + ID, nội dung + tổng tiền theo thuế suất, thông tin mẫu, đẩy HĐĐT</t>
        </is>
      </c>
      <c r="D58" s="57" t="inlineStr">
        <is>
          <t>HK</t>
        </is>
      </c>
      <c r="E58" s="57" t="inlineStr">
        <is>
          <t>High (P1)</t>
        </is>
      </c>
      <c r="F58" s="58" t="inlineStr">
        <is>
          <t>FR05</t>
        </is>
      </c>
      <c r="G58" s="58" t="inlineStr">
        <is>
          <t>Hóa đơn đã phát hành theo đơn; loại hóa đơn, vùng; dòng hóa đơn, thuế suất</t>
        </is>
      </c>
      <c r="H58" s="58" t="inlineStr">
        <is>
          <t>Đúng tập hóa đơn được đẩy; ký hiệu / ID, nội dung, tổng tiền theo từng thuế suất đúng; HĐĐT được gen</t>
        </is>
      </c>
      <c r="I58" s="151" t="n"/>
      <c r="J58" s="57" t="n">
        <v>71</v>
      </c>
      <c r="K58" s="1" t="n"/>
    </row>
    <row r="59" ht="15.75" customHeight="1" s="149">
      <c r="B59" s="57" t="inlineStr">
        <is>
          <t>FR11</t>
        </is>
      </c>
      <c r="C59" s="58" t="inlineStr">
        <is>
          <t>Tiền trả trước một lần mỗi đơn</t>
        </is>
      </c>
      <c r="D59" s="57" t="inlineStr">
        <is>
          <t>HK</t>
        </is>
      </c>
      <c r="E59" s="57" t="inlineStr">
        <is>
          <t>High (P1)</t>
        </is>
      </c>
      <c r="F59" s="58" t="inlineStr">
        <is>
          <t>FR10</t>
        </is>
      </c>
      <c r="G59" s="58" t="inlineStr">
        <is>
          <t>Đơn nhiều đợt hóa đơn</t>
        </is>
      </c>
      <c r="H59" s="58" t="inlineStr">
        <is>
          <t>Add tiền trả trước đúng 1 lần / đơn; đủ các dịch vụ, các kênh bán hàng, các đơn bán mới / bán thêm</t>
        </is>
      </c>
      <c r="I59" s="151" t="n"/>
      <c r="J59" s="57" t="n">
        <v>18</v>
      </c>
      <c r="K59" s="1" t="n"/>
    </row>
    <row r="60" ht="15.75" customHeight="1" s="149">
      <c r="A60" s="1" t="n"/>
      <c r="B60" s="168" t="inlineStr">
        <is>
          <t>Tổng Est #TC</t>
        </is>
      </c>
      <c r="C60" s="153" t="n"/>
      <c r="D60" s="153" t="n"/>
      <c r="E60" s="153" t="n"/>
      <c r="F60" s="153" t="n"/>
      <c r="G60" s="153" t="n"/>
      <c r="H60" s="153" t="n"/>
      <c r="I60" s="151" t="n"/>
      <c r="J60" s="60">
        <f>SUM(J49:J59)</f>
        <v/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69" t="inlineStr">
        <is>
          <t>NGOÀI SCOPE</t>
        </is>
      </c>
      <c r="C61" s="153" t="n"/>
      <c r="D61" s="151" t="n"/>
      <c r="E61" s="169" t="inlineStr">
        <is>
          <t>Lý do</t>
        </is>
      </c>
      <c r="F61" s="153" t="n"/>
      <c r="G61" s="153" t="n"/>
      <c r="H61" s="153" t="n"/>
      <c r="I61" s="153" t="n"/>
      <c r="J61" s="15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58" t="inlineStr">
        <is>
          <t>Xuất hóa đơn tay</t>
        </is>
      </c>
      <c r="C62" s="153" t="n"/>
      <c r="D62" s="151" t="n"/>
      <c r="E62" s="58" t="inlineStr">
        <is>
          <t>URD 2.2 §A.1: chưa bao gồm xuất hóa đơn tay</t>
        </is>
      </c>
      <c r="F62" s="153" t="n"/>
      <c r="G62" s="153" t="n"/>
      <c r="H62" s="153" t="n"/>
      <c r="I62" s="153" t="n"/>
      <c r="J62" s="15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58" t="inlineStr">
        <is>
          <t>Điều chỉnh / hủy hóa đơn khi hủy đơn đã có hóa đơn</t>
        </is>
      </c>
      <c r="C63" s="153" t="n"/>
      <c r="D63" s="151" t="n"/>
      <c r="E63" s="58" t="inlineStr">
        <is>
          <t>BR-XHD-10: xử lý theo quy trình riêng</t>
        </is>
      </c>
      <c r="F63" s="153" t="n"/>
      <c r="G63" s="153" t="n"/>
      <c r="H63" s="153" t="n"/>
      <c r="I63" s="153" t="n"/>
      <c r="J63" s="15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B64" s="58" t="inlineStr">
        <is>
          <t>Điều chỉnh hóa đơn đã phát hành khi chi nhánh đổi</t>
        </is>
      </c>
      <c r="C64" s="153" t="n"/>
      <c r="D64" s="151" t="n"/>
      <c r="E64" s="58" t="inlineStr">
        <is>
          <t>Nghiệp vụ điều chỉnh, ngoài phạm vi</t>
        </is>
      </c>
      <c r="F64" s="153" t="n"/>
      <c r="G64" s="153" t="n"/>
      <c r="H64" s="153" t="n"/>
      <c r="I64" s="153" t="n"/>
      <c r="J64" s="151" t="n"/>
      <c r="K64" s="1" t="n"/>
    </row>
    <row r="65" ht="15.75" customHeight="1" s="149">
      <c r="B65" s="58" t="inlineStr">
        <is>
          <t>Thuộc tính chi nhánh được bán sản phẩm / dịch vụ</t>
        </is>
      </c>
      <c r="C65" s="153" t="n"/>
      <c r="D65" s="151" t="n"/>
      <c r="E65" s="58" t="inlineStr">
        <is>
          <t>BR-XHD-12: do bên quản lý sản phẩm bổ sung, ngoài URD</t>
        </is>
      </c>
      <c r="F65" s="153" t="n"/>
      <c r="G65" s="153" t="n"/>
      <c r="H65" s="153" t="n"/>
      <c r="I65" s="153" t="n"/>
      <c r="J65" s="151" t="n"/>
      <c r="K65" s="1" t="n"/>
    </row>
    <row r="66" ht="15.75" customHeight="1" s="149">
      <c r="B66" s="58" t="inlineStr">
        <is>
          <t>Gạch nợ bằng EVC / voucher</t>
        </is>
      </c>
      <c r="C66" s="153" t="n"/>
      <c r="D66" s="151" t="n"/>
      <c r="E66" s="58" t="inlineStr">
        <is>
          <t>Do đội EVC thực hiện; INVOICE chỉ chừa phần EVC bị lock (trong scope GN)</t>
        </is>
      </c>
      <c r="F66" s="153" t="n"/>
      <c r="G66" s="153" t="n"/>
      <c r="H66" s="153" t="n"/>
      <c r="I66" s="153" t="n"/>
      <c r="J66" s="151" t="n"/>
      <c r="K66" s="1" t="n"/>
    </row>
    <row r="67" ht="15.75" customHeight="1" s="149">
      <c r="B67" s="58" t="inlineStr">
        <is>
          <t>ServiceID 2 (SubServiceType 5–9) và ServiceID 22 (GSafe)</t>
        </is>
      </c>
      <c r="C67" s="153" t="n"/>
      <c r="D67" s="151" t="n"/>
      <c r="E67" s="58" t="inlineStr">
        <is>
          <t>URD 2.2 §A.3: không có trong danh sách phạm vi</t>
        </is>
      </c>
      <c r="F67" s="153" t="n"/>
      <c r="G67" s="153" t="n"/>
      <c r="H67" s="153" t="n"/>
      <c r="I67" s="153" t="n"/>
      <c r="J67" s="151" t="n"/>
      <c r="K67" s="1" t="n"/>
    </row>
    <row r="68" ht="15.75" customHeight="1" s="149">
      <c r="B68" s="58" t="inlineStr">
        <is>
          <t>Xử lý hóa đơn dư khi phát hành trùng</t>
        </is>
      </c>
      <c r="C68" s="153" t="n"/>
      <c r="D68" s="151" t="n"/>
      <c r="E68" s="58" t="inlineStr">
        <is>
          <t>Quy trình điều chỉnh / thay thế riêng</t>
        </is>
      </c>
      <c r="F68" s="153" t="n"/>
      <c r="G68" s="153" t="n"/>
      <c r="H68" s="153" t="n"/>
      <c r="I68" s="153" t="n"/>
      <c r="J68" s="151" t="n"/>
      <c r="K68" s="1" t="n"/>
    </row>
    <row r="69" ht="15.75" customHeight="1" s="149">
      <c r="B69" s="58" t="inlineStr">
        <is>
          <t>Quét tay bổ sung đơn bỏ sót giai đoạn giao thoa cutover</t>
        </is>
      </c>
      <c r="C69" s="153" t="n"/>
      <c r="D69" s="151" t="n"/>
      <c r="E69" s="58" t="inlineStr">
        <is>
          <t>Quét tay, không xây cơ chế tự động</t>
        </is>
      </c>
      <c r="F69" s="153" t="n"/>
      <c r="G69" s="153" t="n"/>
      <c r="H69" s="153" t="n"/>
      <c r="I69" s="153" t="n"/>
      <c r="J69" s="151" t="n"/>
      <c r="K69" s="1" t="n"/>
    </row>
    <row r="70" ht="15.75" customHeight="1" s="149">
      <c r="B70" s="58" t="inlineStr">
        <is>
          <t>Xuất hóa đơn bổ sung case-by-case cho log Kafka trễ qua ngày</t>
        </is>
      </c>
      <c r="C70" s="153" t="n"/>
      <c r="D70" s="151" t="n"/>
      <c r="E70" s="58" t="inlineStr">
        <is>
          <t>Không nằm trong luồng tự động</t>
        </is>
      </c>
      <c r="F70" s="153" t="n"/>
      <c r="G70" s="153" t="n"/>
      <c r="H70" s="153" t="n"/>
      <c r="I70" s="153" t="n"/>
      <c r="J70" s="151" t="n"/>
      <c r="K70" s="1" t="n"/>
    </row>
    <row r="71" ht="15.75" customHeight="1" s="149">
      <c r="B71" s="58" t="inlineStr">
        <is>
          <t>Performance / Security testing</t>
        </is>
      </c>
      <c r="C71" s="153" t="n"/>
      <c r="D71" s="151" t="n"/>
      <c r="E71" s="58" t="inlineStr">
        <is>
          <t>URD không có SLA tải hay yêu cầu bảo mật</t>
        </is>
      </c>
      <c r="F71" s="153" t="n"/>
      <c r="G71" s="153" t="n"/>
      <c r="H71" s="153" t="n"/>
      <c r="I71" s="153" t="n"/>
      <c r="J71" s="151" t="n"/>
      <c r="K71" s="1" t="n"/>
    </row>
    <row r="72" ht="15.75" customHeight="1" s="149">
      <c r="B72" s="58" t="inlineStr">
        <is>
          <t>Điều chỉnh tính lương FPT Play SA (gồm đối soát FHR)</t>
        </is>
      </c>
      <c r="C72" s="153" t="n"/>
      <c r="D72" s="151" t="n"/>
      <c r="E72" s="58" t="inlineStr">
        <is>
          <t>Ngoài phạm vi test v2.0 (QC lead chốt 14/10/2026); đối soát FHR do FHR nghiệm thu ở UAT</t>
        </is>
      </c>
      <c r="F72" s="153" t="n"/>
      <c r="G72" s="153" t="n"/>
      <c r="H72" s="153" t="n"/>
      <c r="I72" s="153" t="n"/>
      <c r="J72" s="151" t="n"/>
      <c r="K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4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59" t="inlineStr">
        <is>
          <t>SDLC áp dụng</t>
        </is>
      </c>
      <c r="C75" s="153" t="n"/>
      <c r="D75" s="153" t="n"/>
      <c r="E75" s="151" t="n"/>
      <c r="F75" s="121" t="inlineStr">
        <is>
          <t>Điều kiện QC cần (cam kết 2 chiều)</t>
        </is>
      </c>
      <c r="G75" s="153" t="n"/>
      <c r="H75" s="153" t="n"/>
      <c r="I75" s="153" t="n"/>
      <c r="J75" s="15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70" t="inlineStr">
        <is>
          <t>• Sinh Test Case bằng AI (QC review)</t>
        </is>
      </c>
      <c r="C76" s="153" t="n"/>
      <c r="D76" s="153" t="n"/>
      <c r="E76" s="151" t="n"/>
      <c r="F76" s="58" t="inlineStr">
        <is>
          <t>• Tài liệu Final đúng ngày chốt</t>
        </is>
      </c>
      <c r="G76" s="153" t="n"/>
      <c r="H76" s="153" t="n"/>
      <c r="I76" s="153" t="n"/>
      <c r="J76" s="15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70" t="inlineStr">
        <is>
          <t>• AI viết script automation (regression)</t>
        </is>
      </c>
      <c r="C77" s="153" t="n"/>
      <c r="D77" s="153" t="n"/>
      <c r="E77" s="151" t="n"/>
      <c r="F77" s="58" t="inlineStr">
        <is>
          <t>• Input/Output &amp; môi trường sẵn sàng</t>
        </is>
      </c>
      <c r="G77" s="153" t="n"/>
      <c r="H77" s="153" t="n"/>
      <c r="I77" s="153" t="n"/>
      <c r="J77" s="15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70" t="inlineStr">
        <is>
          <t>• AI agent vibe-test luồng chính</t>
        </is>
      </c>
      <c r="C78" s="153" t="n"/>
      <c r="D78" s="153" t="n"/>
      <c r="E78" s="151" t="n"/>
      <c r="F78" s="58" t="inlineStr">
        <is>
          <t>• Timeline done bug rõ ràng từ PM/Dev</t>
        </is>
      </c>
      <c r="G78" s="153" t="n"/>
      <c r="H78" s="153" t="n"/>
      <c r="I78" s="153" t="n"/>
      <c r="J78" s="15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132">
    <mergeCell ref="H53:I53"/>
    <mergeCell ref="B7:C7"/>
    <mergeCell ref="F29:G29"/>
    <mergeCell ref="C15:D15"/>
    <mergeCell ref="F25:G25"/>
    <mergeCell ref="E69:J69"/>
    <mergeCell ref="H55:I55"/>
    <mergeCell ref="H58:I58"/>
    <mergeCell ref="I26:J26"/>
    <mergeCell ref="H45:J45"/>
    <mergeCell ref="F7:G7"/>
    <mergeCell ref="B76:E76"/>
    <mergeCell ref="D6:E6"/>
    <mergeCell ref="F21:G21"/>
    <mergeCell ref="I16:J16"/>
    <mergeCell ref="I25:J25"/>
    <mergeCell ref="E61:J61"/>
    <mergeCell ref="F36:G36"/>
    <mergeCell ref="I37:J37"/>
    <mergeCell ref="F76:J76"/>
    <mergeCell ref="B65:D65"/>
    <mergeCell ref="H52:I52"/>
    <mergeCell ref="F8:G8"/>
    <mergeCell ref="I21:J21"/>
    <mergeCell ref="C12:D12"/>
    <mergeCell ref="F75:J75"/>
    <mergeCell ref="B5:J5"/>
    <mergeCell ref="D7:E7"/>
    <mergeCell ref="B63:D63"/>
    <mergeCell ref="E66:J66"/>
    <mergeCell ref="B45:G45"/>
    <mergeCell ref="I42:J42"/>
    <mergeCell ref="F23:G23"/>
    <mergeCell ref="H8:J8"/>
    <mergeCell ref="H57:I57"/>
    <mergeCell ref="F22:G22"/>
    <mergeCell ref="I23:J23"/>
    <mergeCell ref="B62:D62"/>
    <mergeCell ref="B9:C9"/>
    <mergeCell ref="B47:J47"/>
    <mergeCell ref="E68:J68"/>
    <mergeCell ref="F43:G43"/>
    <mergeCell ref="I44:J44"/>
    <mergeCell ref="B72:D72"/>
    <mergeCell ref="E71:J71"/>
    <mergeCell ref="B3:J3"/>
    <mergeCell ref="B66:D66"/>
    <mergeCell ref="I20:J20"/>
    <mergeCell ref="E67:J67"/>
    <mergeCell ref="B78:E78"/>
    <mergeCell ref="B18:J18"/>
    <mergeCell ref="B70:D70"/>
    <mergeCell ref="H9:J9"/>
    <mergeCell ref="I13:J13"/>
    <mergeCell ref="B2:J2"/>
    <mergeCell ref="I30:J30"/>
    <mergeCell ref="B11:J11"/>
    <mergeCell ref="I34:J34"/>
    <mergeCell ref="E63:J63"/>
    <mergeCell ref="F78:J78"/>
    <mergeCell ref="B67:D67"/>
    <mergeCell ref="B61:D61"/>
    <mergeCell ref="I15:J15"/>
    <mergeCell ref="H54:I54"/>
    <mergeCell ref="F19:G19"/>
    <mergeCell ref="F34:G34"/>
    <mergeCell ref="C14:D14"/>
    <mergeCell ref="F6:G6"/>
    <mergeCell ref="I27:J27"/>
    <mergeCell ref="E65:J65"/>
    <mergeCell ref="H50:I50"/>
    <mergeCell ref="I36:J36"/>
    <mergeCell ref="F40:G40"/>
    <mergeCell ref="B69:D69"/>
    <mergeCell ref="H7:J7"/>
    <mergeCell ref="H56:I56"/>
    <mergeCell ref="H59:I59"/>
    <mergeCell ref="F24:G24"/>
    <mergeCell ref="F30:G30"/>
    <mergeCell ref="C16:D16"/>
    <mergeCell ref="B75:E75"/>
    <mergeCell ref="I32:J32"/>
    <mergeCell ref="F20:G20"/>
    <mergeCell ref="H51:I51"/>
    <mergeCell ref="H49:I49"/>
    <mergeCell ref="F33:G33"/>
    <mergeCell ref="I41:J41"/>
    <mergeCell ref="F42:G42"/>
    <mergeCell ref="B60:I60"/>
    <mergeCell ref="I22:J22"/>
    <mergeCell ref="B68:D68"/>
    <mergeCell ref="I28:J28"/>
    <mergeCell ref="F26:G26"/>
    <mergeCell ref="B8:C8"/>
    <mergeCell ref="F32:G32"/>
    <mergeCell ref="F41:G41"/>
    <mergeCell ref="F35:G35"/>
    <mergeCell ref="B74:J74"/>
    <mergeCell ref="B64:D64"/>
    <mergeCell ref="E72:J72"/>
    <mergeCell ref="I43:J43"/>
    <mergeCell ref="I12:J12"/>
    <mergeCell ref="F38:G38"/>
    <mergeCell ref="I24:J24"/>
    <mergeCell ref="I33:J33"/>
    <mergeCell ref="F31:G31"/>
    <mergeCell ref="B77:E77"/>
    <mergeCell ref="F28:G28"/>
    <mergeCell ref="I39:J39"/>
    <mergeCell ref="I14:J14"/>
    <mergeCell ref="D9:E9"/>
    <mergeCell ref="F27:G27"/>
    <mergeCell ref="F9:G9"/>
    <mergeCell ref="D8:E8"/>
    <mergeCell ref="B6:C6"/>
    <mergeCell ref="I29:J29"/>
    <mergeCell ref="I35:J35"/>
    <mergeCell ref="F37:G37"/>
    <mergeCell ref="I38:J38"/>
    <mergeCell ref="F39:G39"/>
    <mergeCell ref="H48:I48"/>
    <mergeCell ref="E62:J62"/>
    <mergeCell ref="F77:J77"/>
    <mergeCell ref="B71:D71"/>
    <mergeCell ref="E70:J70"/>
    <mergeCell ref="I19:J19"/>
    <mergeCell ref="C13:D13"/>
    <mergeCell ref="I31:J31"/>
    <mergeCell ref="E64:J64"/>
    <mergeCell ref="I40:J40"/>
    <mergeCell ref="F44:G44"/>
    <mergeCell ref="H6:J6"/>
  </mergeCells>
  <dataValidations count="1">
    <dataValidation sqref="E13:E16" showDropDown="0" showInputMessage="0" showErrorMessage="0" allowBlank="1" type="list">
      <formula1>"Final,Draft"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L227"/>
  <sheetViews>
    <sheetView showGridLines="0" workbookViewId="0">
      <pane xSplit="12" ySplit="15" topLeftCell="M16" activePane="bottomRight" state="frozen"/>
      <selection pane="topRight" activeCell="M1" sqref="M1"/>
      <selection pane="bottomLeft" activeCell="A16" sqref="A16"/>
      <selection pane="bottomRight" activeCell="M16" sqref="M16"/>
    </sheetView>
  </sheetViews>
  <sheetFormatPr baseColWidth="8" defaultColWidth="14.43" defaultRowHeight="15" customHeight="1"/>
  <cols>
    <col width="3" customWidth="1" style="149" min="1" max="1"/>
    <col width="4" customWidth="1" style="149" min="2" max="2"/>
    <col width="34" customWidth="1" style="149" min="3" max="3"/>
    <col width="12" customWidth="1" style="149" min="4" max="5"/>
    <col hidden="1" width="9" customWidth="1" style="149" min="6" max="6"/>
    <col width="10" customWidth="1" style="149" min="7" max="7"/>
    <col width="12" customWidth="1" style="149" min="8" max="9"/>
    <col width="10" customWidth="1" style="149" min="10" max="10"/>
    <col width="18" customWidth="1" style="149" min="11" max="11"/>
    <col width="2" customWidth="1" style="149" min="12" max="12"/>
    <col width="2.71" customWidth="1" style="149" min="13" max="30"/>
    <col width="13" customWidth="1" style="149" min="30" max="30"/>
    <col width="13" customWidth="1" style="149" min="31" max="31"/>
    <col width="13" customWidth="1" style="149" min="32" max="32"/>
    <col width="13" customWidth="1" style="149" min="33" max="33"/>
    <col width="13" customWidth="1" style="149" min="34" max="34"/>
    <col width="13" customWidth="1" style="149" min="35" max="35"/>
    <col width="13" customWidth="1" style="149" min="36" max="36"/>
    <col width="13" customWidth="1" style="149" min="37" max="37"/>
    <col width="13" customWidth="1" style="149" min="38" max="3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25.5" customHeight="1" s="149">
      <c r="A2" s="1" t="n"/>
      <c r="B2" s="11" t="inlineStr">
        <is>
          <t>PLAN — KẾ HOẠCH TEST (WBS + ROUND + EFFORT + GANTT)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13" t="inlineStr">
        <is>
          <t>Sheet lõi. Cây Round ▸ công việc; dòng cha tự cuộn. Điền ô vàng (ngày, effort); phần còn lại tự tính.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" t="n"/>
      <c r="B5" s="164" t="inlineStr">
        <is>
          <t>Mục tiêu test</t>
        </is>
      </c>
      <c r="C5" s="151" t="n"/>
      <c r="D5" s="171" t="inlineStr">
        <is>
          <t>Kiểm chứng URD Invoice Issuance Architecture Phase 2 (rev 2.2): xuất hóa đơn tự động 17 kênh × 20 nhóm dịch vụ, đơn bán mới + bán thêm; gạch nợ Paid / Cọc; đẩy hậu kỳ HĐĐT + tiền trả trước</t>
        </is>
      </c>
      <c r="E5" s="153" t="n"/>
      <c r="F5" s="151" t="n"/>
      <c r="G5" s="164" t="inlineStr">
        <is>
          <t>Bắt đầu (min)</t>
        </is>
      </c>
      <c r="H5" s="153" t="n"/>
      <c r="I5" s="151" t="n"/>
      <c r="J5" s="172">
        <f>H16</f>
        <v/>
      </c>
      <c r="K5" s="15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164" t="inlineStr">
        <is>
          <t>Scope (Output/Module)</t>
        </is>
      </c>
      <c r="C6" s="151" t="n"/>
      <c r="D6" s="171" t="inlineStr">
        <is>
          <t>3 module XHD, GN, HK — 11 chức năng FR01–FR11, 1.264 TC (FR01 gồm ma trận 17 kênh × 20 nhóm dịch vụ × bán mới / bán thêm: 680 TC)</t>
        </is>
      </c>
      <c r="E6" s="153" t="n"/>
      <c r="F6" s="151" t="n"/>
      <c r="G6" s="164" t="inlineStr">
        <is>
          <t>Kết thúc (max)</t>
        </is>
      </c>
      <c r="H6" s="153" t="n"/>
      <c r="I6" s="151" t="n"/>
      <c r="J6" s="172">
        <f>I16</f>
        <v/>
      </c>
      <c r="K6" s="15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164" t="inlineStr">
        <is>
          <t>Version</t>
        </is>
      </c>
      <c r="C7" s="151" t="n"/>
      <c r="D7" s="173" t="inlineStr">
        <is>
          <t>v2.0</t>
        </is>
      </c>
      <c r="E7" s="153" t="n"/>
      <c r="F7" s="151" t="n"/>
      <c r="G7" s="164" t="inlineStr">
        <is>
          <t>Tổng effort (md)</t>
        </is>
      </c>
      <c r="H7" s="153" t="n"/>
      <c r="I7" s="151" t="n"/>
      <c r="J7" s="174">
        <f>G16</f>
        <v/>
      </c>
      <c r="K7" s="15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9.5" customHeight="1" s="149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 ht="19.5" customHeight="1" s="149">
      <c r="A9" s="1" t="n"/>
      <c r="B9" s="164" t="inlineStr">
        <is>
          <t>Deadline master plan</t>
        </is>
      </c>
      <c r="C9" s="151" t="n"/>
      <c r="D9" s="175" t="n">
        <v>46339</v>
      </c>
      <c r="E9" s="15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25.5" customHeight="1" s="149">
      <c r="A10" s="1" t="n"/>
      <c r="B10" s="176" t="inlineStr">
        <is>
          <t>KẾT LUẬN</t>
        </is>
      </c>
      <c r="C10" s="151" t="n"/>
      <c r="D10" s="177">
        <f>IF(OR($D$9="",$I$16=""),"— (nhập Deadline &amp; lịch round)",IF($I$16&lt;=$D$9,"ĐÁP ỨNG (kết thúc ≤ deadline master plan)","KHÔNG đáp ứng → điều chỉnh scope / timeline / thêm QC"))</f>
        <v/>
      </c>
      <c r="E10" s="153" t="n"/>
      <c r="F10" s="153" t="n"/>
      <c r="G10" s="153" t="n"/>
      <c r="H10" s="153" t="n"/>
      <c r="I10" s="153" t="n"/>
      <c r="J10" s="153" t="n"/>
      <c r="K10" s="15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15.75" customHeight="1" s="149">
      <c r="A11" s="1" t="n"/>
      <c r="B11" s="13" t="inlineStr">
        <is>
          <t>Đáp ứng = Kết thúc (max) ≤ Deadline master plan. Tiến độ %/effort theo dõi trên công cụ quản lý task; mọi lần dời lịch ghi ở sheet "Nhật ký Plan".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 ht="21.75" customHeight="1" s="149">
      <c r="A14" s="1" t="n"/>
      <c r="B14" s="14" t="inlineStr">
        <is>
          <t>KẾ HOẠCH CHI TIẾT (Round ▸ công việc)</t>
        </is>
      </c>
      <c r="L14" s="1" t="n"/>
      <c r="M14" s="71" t="inlineStr">
        <is>
          <t>GANTT — mỗi ô = 1 ngày làm việc · thanh màu = khoảng thời gian công việc/round</t>
        </is>
      </c>
    </row>
    <row r="15" ht="45.75" customHeight="1" s="149">
      <c r="A15" s="1" t="n"/>
      <c r="B15" s="72" t="inlineStr">
        <is>
          <t>#</t>
        </is>
      </c>
      <c r="C15" s="73" t="inlineStr">
        <is>
          <t>Công việc</t>
        </is>
      </c>
      <c r="D15" s="72" t="inlineStr">
        <is>
          <t>Loại test</t>
        </is>
      </c>
      <c r="E15" s="72" t="inlineStr">
        <is>
          <t>Ưu tiên</t>
        </is>
      </c>
      <c r="F15" s="72" t="n"/>
      <c r="G15" s="72" t="inlineStr">
        <is>
          <t>Effort (md)</t>
        </is>
      </c>
      <c r="H15" s="72" t="inlineStr">
        <is>
          <t>Bắt đầu</t>
        </is>
      </c>
      <c r="I15" s="72" t="inlineStr">
        <is>
          <t>Kết thúc</t>
        </is>
      </c>
      <c r="J15" s="72" t="inlineStr">
        <is>
          <t>Thời lượng</t>
        </is>
      </c>
      <c r="K15" s="72" t="inlineStr">
        <is>
          <t>PIC</t>
        </is>
      </c>
      <c r="L15" s="1" t="n"/>
      <c r="M15" s="74" t="n">
        <v>46314</v>
      </c>
      <c r="N15" s="75">
        <f>M15+1</f>
        <v/>
      </c>
      <c r="O15" s="75">
        <f>N15+1</f>
        <v/>
      </c>
      <c r="P15" s="75">
        <f>O15+1</f>
        <v/>
      </c>
      <c r="Q15" s="75">
        <f>P15+1</f>
        <v/>
      </c>
      <c r="R15" s="75">
        <f>Q15+1</f>
        <v/>
      </c>
      <c r="S15" s="75">
        <f>R15+1</f>
        <v/>
      </c>
      <c r="T15" s="75">
        <f>S15+1</f>
        <v/>
      </c>
      <c r="U15" s="75">
        <f>T15+1</f>
        <v/>
      </c>
      <c r="V15" s="75">
        <f>U15+1</f>
        <v/>
      </c>
      <c r="W15" s="75">
        <f>V15+1</f>
        <v/>
      </c>
      <c r="X15" s="75">
        <f>W15+1</f>
        <v/>
      </c>
      <c r="Y15" s="75">
        <f>X15+1</f>
        <v/>
      </c>
      <c r="Z15" s="75">
        <f>Y15+1</f>
        <v/>
      </c>
      <c r="AA15" s="75">
        <f>Z15+1</f>
        <v/>
      </c>
      <c r="AB15" s="75">
        <f>AA15+1</f>
        <v/>
      </c>
      <c r="AC15" s="75">
        <f>AB15+1</f>
        <v/>
      </c>
      <c r="AD15" s="75">
        <f>AC15+1</f>
        <v/>
      </c>
      <c r="AE15" s="75">
        <f>AD15+1</f>
        <v/>
      </c>
      <c r="AF15" s="75">
        <f>AE15+1</f>
        <v/>
      </c>
      <c r="AG15" s="75">
        <f>AF15+1</f>
        <v/>
      </c>
      <c r="AH15" s="75">
        <f>AG15+1</f>
        <v/>
      </c>
      <c r="AI15" s="75">
        <f>AH15+1</f>
        <v/>
      </c>
      <c r="AJ15" s="75">
        <f>AI15+1</f>
        <v/>
      </c>
      <c r="AK15" s="75">
        <f>AJ15+1</f>
        <v/>
      </c>
      <c r="AL15" s="75">
        <f>AK15+1</f>
        <v/>
      </c>
    </row>
    <row r="16" ht="19.5" customHeight="1" s="149">
      <c r="A16" s="1" t="n"/>
      <c r="B16" s="76" t="inlineStr">
        <is>
          <t>1.0</t>
        </is>
      </c>
      <c r="C16" s="77" t="inlineStr">
        <is>
          <t>▼ Invoice Issuance Architecture v2.0</t>
        </is>
      </c>
      <c r="D16" s="78" t="n"/>
      <c r="E16" s="79" t="n"/>
      <c r="F16" s="80" t="n"/>
      <c r="G16" s="81">
        <f>G17+G21+G23+G25</f>
        <v/>
      </c>
      <c r="H16" s="82">
        <f>MIN(H17,H21,H23,H25)</f>
        <v/>
      </c>
      <c r="I16" s="82">
        <f>MAX(I17,I21,I23,I25)</f>
        <v/>
      </c>
      <c r="J16" s="83">
        <f>NETWORKDAYS(H16,I16)</f>
        <v/>
      </c>
      <c r="K16" s="84" t="n"/>
      <c r="L16" s="1" t="n"/>
      <c r="M16" s="178" t="n"/>
      <c r="N16" s="178" t="n"/>
      <c r="O16" s="178" t="n"/>
      <c r="P16" s="178" t="n"/>
      <c r="Q16" s="178" t="n"/>
      <c r="R16" s="179" t="n"/>
      <c r="S16" s="179" t="n"/>
      <c r="T16" s="178" t="n"/>
      <c r="U16" s="178" t="n"/>
      <c r="V16" s="178" t="n"/>
      <c r="W16" s="178" t="n"/>
      <c r="X16" s="178" t="n"/>
      <c r="Y16" s="179" t="n"/>
      <c r="Z16" s="179" t="n"/>
      <c r="AA16" s="178" t="n"/>
      <c r="AB16" s="178" t="n"/>
      <c r="AC16" s="178" t="n"/>
      <c r="AD16" s="178" t="n"/>
      <c r="AE16" s="178" t="n"/>
      <c r="AF16" s="179" t="n"/>
      <c r="AG16" s="179" t="n"/>
      <c r="AH16" s="178" t="n"/>
      <c r="AI16" s="178" t="n"/>
      <c r="AJ16" s="178" t="n"/>
      <c r="AK16" s="178" t="n"/>
      <c r="AL16" s="178" t="n"/>
    </row>
    <row r="17" ht="19.5" customHeight="1" s="149">
      <c r="A17" s="1" t="n"/>
      <c r="B17" s="87" t="inlineStr">
        <is>
          <t>2.0</t>
        </is>
      </c>
      <c r="C17" s="88" t="inlineStr">
        <is>
          <t>▼ Chuẩn bị</t>
        </is>
      </c>
      <c r="D17" s="89" t="inlineStr">
        <is>
          <t>—</t>
        </is>
      </c>
      <c r="E17" s="90" t="n"/>
      <c r="F17" s="91" t="n"/>
      <c r="G17" s="92">
        <f>SUM(G18:G20)</f>
        <v/>
      </c>
      <c r="H17" s="93">
        <f>MIN(H18:H20)</f>
        <v/>
      </c>
      <c r="I17" s="93">
        <f>MAX(I18:I20)</f>
        <v/>
      </c>
      <c r="J17" s="94">
        <f>NETWORKDAYS(H17,I17)</f>
        <v/>
      </c>
      <c r="K17" s="95" t="n"/>
      <c r="L17" s="1" t="n"/>
      <c r="M17" s="180" t="n"/>
      <c r="N17" s="180" t="n"/>
      <c r="O17" s="180" t="n"/>
      <c r="P17" s="180" t="n"/>
      <c r="Q17" s="180" t="n"/>
      <c r="R17" s="179" t="n"/>
      <c r="S17" s="179" t="n"/>
      <c r="T17" s="97" t="n"/>
      <c r="U17" s="97" t="n"/>
      <c r="V17" s="97" t="n"/>
      <c r="W17" s="97" t="n"/>
      <c r="X17" s="97" t="n"/>
      <c r="Y17" s="179" t="n"/>
      <c r="Z17" s="179" t="n"/>
      <c r="AA17" s="97" t="n"/>
      <c r="AB17" s="97" t="n"/>
      <c r="AC17" s="97" t="n"/>
      <c r="AD17" s="97" t="n"/>
      <c r="AE17" s="97" t="n"/>
      <c r="AF17" s="179" t="n"/>
      <c r="AG17" s="179" t="n"/>
      <c r="AH17" s="97" t="n"/>
      <c r="AI17" s="97" t="n"/>
      <c r="AJ17" s="97" t="n"/>
      <c r="AK17" s="97" t="n"/>
      <c r="AL17" s="97" t="n"/>
    </row>
    <row r="18" ht="19.5" customHeight="1" s="149">
      <c r="A18" s="1" t="n"/>
      <c r="B18" s="99" t="inlineStr">
        <is>
          <t>3.0</t>
        </is>
      </c>
      <c r="C18" s="100" t="inlineStr">
        <is>
          <t>Đọc và clear nghiệp vụ</t>
        </is>
      </c>
      <c r="D18" s="99" t="inlineStr">
        <is>
          <t>—</t>
        </is>
      </c>
      <c r="E18" s="101" t="inlineStr">
        <is>
          <t>● Cao</t>
        </is>
      </c>
      <c r="F18" s="102" t="n"/>
      <c r="G18" s="103" t="n">
        <v>8</v>
      </c>
      <c r="H18" s="104" t="n">
        <v>46314</v>
      </c>
      <c r="I18" s="104" t="n">
        <v>46315</v>
      </c>
      <c r="J18" s="105">
        <f>NETWORKDAYS(H18,I18)</f>
        <v/>
      </c>
      <c r="K18" s="106" t="inlineStr">
        <is>
          <t>HuyenNHK, GiangDC2, AnhPTM17, DatDGD</t>
        </is>
      </c>
      <c r="L18" s="1" t="n"/>
      <c r="M18" s="181" t="n"/>
      <c r="N18" s="181" t="n"/>
      <c r="O18" s="97" t="n"/>
      <c r="P18" s="97" t="n"/>
      <c r="Q18" s="97" t="n"/>
      <c r="R18" s="179" t="n"/>
      <c r="S18" s="179" t="n"/>
      <c r="T18" s="97" t="n"/>
      <c r="U18" s="97" t="n"/>
      <c r="V18" s="97" t="n"/>
      <c r="W18" s="97" t="n"/>
      <c r="X18" s="97" t="n"/>
      <c r="Y18" s="179" t="n"/>
      <c r="Z18" s="179" t="n"/>
      <c r="AA18" s="97" t="n"/>
      <c r="AB18" s="97" t="n"/>
      <c r="AC18" s="97" t="n"/>
      <c r="AD18" s="97" t="n"/>
      <c r="AE18" s="97" t="n"/>
      <c r="AF18" s="179" t="n"/>
      <c r="AG18" s="179" t="n"/>
      <c r="AH18" s="97" t="n"/>
      <c r="AI18" s="97" t="n"/>
      <c r="AJ18" s="97" t="n"/>
      <c r="AK18" s="97" t="n"/>
      <c r="AL18" s="97" t="n"/>
    </row>
    <row r="19" ht="19.5" customHeight="1" s="149">
      <c r="A19" s="1" t="n"/>
      <c r="B19" s="99" t="inlineStr">
        <is>
          <t>4.0</t>
        </is>
      </c>
      <c r="C19" s="100" t="inlineStr">
        <is>
          <t>Review và gen testcase</t>
        </is>
      </c>
      <c r="D19" s="99" t="inlineStr">
        <is>
          <t>—</t>
        </is>
      </c>
      <c r="E19" s="108" t="inlineStr">
        <is>
          <t>● Cao</t>
        </is>
      </c>
      <c r="F19" s="102" t="n"/>
      <c r="G19" s="103" t="n">
        <v>6</v>
      </c>
      <c r="H19" s="104" t="n">
        <v>46316</v>
      </c>
      <c r="I19" s="104" t="n">
        <v>46317</v>
      </c>
      <c r="J19" s="105">
        <f>NETWORKDAYS(H19,I19)</f>
        <v/>
      </c>
      <c r="K19" s="106" t="inlineStr">
        <is>
          <t>GiangDC2, AnhPTM17, DatDGD</t>
        </is>
      </c>
      <c r="L19" s="1" t="n"/>
      <c r="M19" s="97" t="n"/>
      <c r="N19" s="97" t="n"/>
      <c r="O19" s="181" t="n"/>
      <c r="P19" s="181" t="n"/>
      <c r="Q19" s="97" t="n"/>
      <c r="R19" s="179" t="n"/>
      <c r="S19" s="179" t="n"/>
      <c r="T19" s="97" t="n"/>
      <c r="U19" s="97" t="n"/>
      <c r="V19" s="97" t="n"/>
      <c r="W19" s="97" t="n"/>
      <c r="X19" s="97" t="n"/>
      <c r="Y19" s="179" t="n"/>
      <c r="Z19" s="179" t="n"/>
      <c r="AA19" s="97" t="n"/>
      <c r="AB19" s="97" t="n"/>
      <c r="AC19" s="97" t="n"/>
      <c r="AD19" s="97" t="n"/>
      <c r="AE19" s="97" t="n"/>
      <c r="AF19" s="179" t="n"/>
      <c r="AG19" s="179" t="n"/>
      <c r="AH19" s="97" t="n"/>
      <c r="AI19" s="97" t="n"/>
      <c r="AJ19" s="97" t="n"/>
      <c r="AK19" s="97" t="n"/>
      <c r="AL19" s="97" t="n"/>
    </row>
    <row r="20" ht="19.5" customHeight="1" s="149">
      <c r="A20" s="1" t="n"/>
      <c r="B20" s="99" t="inlineStr">
        <is>
          <t>5.0</t>
        </is>
      </c>
      <c r="C20" s="100" t="inlineStr">
        <is>
          <t>Update TC + Setup data</t>
        </is>
      </c>
      <c r="D20" s="99" t="inlineStr">
        <is>
          <t>—</t>
        </is>
      </c>
      <c r="E20" s="101" t="inlineStr">
        <is>
          <t>● Cao</t>
        </is>
      </c>
      <c r="F20" s="102" t="n"/>
      <c r="G20" s="103" t="n">
        <v>3</v>
      </c>
      <c r="H20" s="104" t="n">
        <v>46318</v>
      </c>
      <c r="I20" s="104" t="n">
        <v>46318</v>
      </c>
      <c r="J20" s="105">
        <f>NETWORKDAYS(H20,I20)</f>
        <v/>
      </c>
      <c r="K20" s="106" t="inlineStr">
        <is>
          <t>GiangDC2, AnhPTM17, DatDGD</t>
        </is>
      </c>
      <c r="L20" s="1" t="n"/>
      <c r="M20" s="97" t="n"/>
      <c r="N20" s="97" t="n"/>
      <c r="O20" s="97" t="n"/>
      <c r="P20" s="97" t="n"/>
      <c r="Q20" s="181" t="n"/>
      <c r="R20" s="179" t="n"/>
      <c r="S20" s="179" t="n"/>
      <c r="T20" s="97" t="n"/>
      <c r="U20" s="97" t="n"/>
      <c r="V20" s="97" t="n"/>
      <c r="W20" s="97" t="n"/>
      <c r="X20" s="97" t="n"/>
      <c r="Y20" s="179" t="n"/>
      <c r="Z20" s="179" t="n"/>
      <c r="AA20" s="97" t="n"/>
      <c r="AB20" s="97" t="n"/>
      <c r="AC20" s="97" t="n"/>
      <c r="AD20" s="97" t="n"/>
      <c r="AE20" s="97" t="n"/>
      <c r="AF20" s="179" t="n"/>
      <c r="AG20" s="179" t="n"/>
      <c r="AH20" s="97" t="n"/>
      <c r="AI20" s="97" t="n"/>
      <c r="AJ20" s="97" t="n"/>
      <c r="AK20" s="97" t="n"/>
      <c r="AL20" s="97" t="n"/>
    </row>
    <row r="21" ht="19.5" customHeight="1" s="149">
      <c r="A21" s="1" t="n"/>
      <c r="B21" s="87" t="inlineStr">
        <is>
          <t>6.0</t>
        </is>
      </c>
      <c r="C21" s="88" t="inlineStr">
        <is>
          <t>▼ Round 1</t>
        </is>
      </c>
      <c r="D21" s="89" t="inlineStr">
        <is>
          <t>Functional</t>
        </is>
      </c>
      <c r="E21" s="90" t="n"/>
      <c r="F21" s="91" t="n"/>
      <c r="G21" s="92">
        <f>SUM(G22:G22)</f>
        <v/>
      </c>
      <c r="H21" s="93">
        <f>MIN(H22:H22)</f>
        <v/>
      </c>
      <c r="I21" s="93">
        <f>MAX(I22:I22)</f>
        <v/>
      </c>
      <c r="J21" s="94">
        <f>NETWORKDAYS(H21,I21)</f>
        <v/>
      </c>
      <c r="K21" s="95" t="n"/>
      <c r="L21" s="1" t="n"/>
      <c r="M21" s="97" t="n"/>
      <c r="N21" s="97" t="n"/>
      <c r="O21" s="97" t="n"/>
      <c r="P21" s="97" t="n"/>
      <c r="Q21" s="97" t="n"/>
      <c r="R21" s="179" t="n"/>
      <c r="S21" s="179" t="n"/>
      <c r="T21" s="180" t="n"/>
      <c r="U21" s="180" t="n"/>
      <c r="V21" s="180" t="n"/>
      <c r="W21" s="180" t="n"/>
      <c r="X21" s="180" t="n"/>
      <c r="Y21" s="179" t="n"/>
      <c r="Z21" s="179" t="n"/>
      <c r="AA21" s="97" t="n"/>
      <c r="AB21" s="97" t="n"/>
      <c r="AC21" s="97" t="n"/>
      <c r="AD21" s="97" t="n"/>
      <c r="AE21" s="97" t="n"/>
      <c r="AF21" s="179" t="n"/>
      <c r="AG21" s="179" t="n"/>
      <c r="AH21" s="97" t="n"/>
      <c r="AI21" s="97" t="n"/>
      <c r="AJ21" s="97" t="n"/>
      <c r="AK21" s="97" t="n"/>
      <c r="AL21" s="97" t="n"/>
    </row>
    <row r="22" ht="19.5" customHeight="1" s="149">
      <c r="A22" s="1" t="n"/>
      <c r="B22" s="99" t="inlineStr">
        <is>
          <t>7.0</t>
        </is>
      </c>
      <c r="C22" s="100" t="inlineStr">
        <is>
          <t>Test Execution - Round 1 (Smoke + Functional + Exploratory)</t>
        </is>
      </c>
      <c r="D22" s="99" t="inlineStr">
        <is>
          <t>Functional</t>
        </is>
      </c>
      <c r="E22" s="101" t="inlineStr">
        <is>
          <t>● Cao</t>
        </is>
      </c>
      <c r="F22" s="102" t="n"/>
      <c r="G22" s="103" t="n">
        <v>20</v>
      </c>
      <c r="H22" s="104" t="n">
        <v>46321</v>
      </c>
      <c r="I22" s="104" t="n">
        <v>46325</v>
      </c>
      <c r="J22" s="105">
        <f>NETWORKDAYS(H22,I22)</f>
        <v/>
      </c>
      <c r="K22" s="106" t="inlineStr">
        <is>
          <t>HuyenNHK, GiangDC2, AnhPTM17, DatDGD</t>
        </is>
      </c>
      <c r="L22" s="1" t="n"/>
      <c r="M22" s="97" t="n"/>
      <c r="N22" s="97" t="n"/>
      <c r="O22" s="97" t="n"/>
      <c r="P22" s="97" t="n"/>
      <c r="Q22" s="97" t="n"/>
      <c r="R22" s="179" t="n"/>
      <c r="S22" s="179" t="n"/>
      <c r="T22" s="181" t="n"/>
      <c r="U22" s="181" t="n"/>
      <c r="V22" s="181" t="n"/>
      <c r="W22" s="181" t="n"/>
      <c r="X22" s="181" t="n"/>
      <c r="Y22" s="179" t="n"/>
      <c r="Z22" s="179" t="n"/>
      <c r="AA22" s="97" t="n"/>
      <c r="AB22" s="97" t="n"/>
      <c r="AC22" s="97" t="n"/>
      <c r="AD22" s="97" t="n"/>
      <c r="AE22" s="97" t="n"/>
      <c r="AF22" s="179" t="n"/>
      <c r="AG22" s="179" t="n"/>
      <c r="AH22" s="97" t="n"/>
      <c r="AI22" s="97" t="n"/>
      <c r="AJ22" s="97" t="n"/>
      <c r="AK22" s="97" t="n"/>
      <c r="AL22" s="97" t="n"/>
    </row>
    <row r="23" ht="19.5" customHeight="1" s="149">
      <c r="A23" s="1" t="n"/>
      <c r="B23" s="182" t="inlineStr">
        <is>
          <t>8.0</t>
        </is>
      </c>
      <c r="C23" s="183" t="inlineStr">
        <is>
          <t>▼ Round 2</t>
        </is>
      </c>
      <c r="D23" s="182" t="inlineStr">
        <is>
          <t>Functional</t>
        </is>
      </c>
      <c r="E23" s="183" t="n"/>
      <c r="F23" s="184" t="n"/>
      <c r="G23" s="185">
        <f>SUM(G24:G24)</f>
        <v/>
      </c>
      <c r="H23" s="186">
        <f>MIN(H24:H24)</f>
        <v/>
      </c>
      <c r="I23" s="186">
        <f>MAX(I24:I24)</f>
        <v/>
      </c>
      <c r="J23" s="187">
        <f>NETWORKDAYS(H23,I23)</f>
        <v/>
      </c>
      <c r="K23" s="188" t="n"/>
      <c r="L23" s="189" t="n"/>
      <c r="M23" s="190" t="n"/>
      <c r="N23" s="190" t="n"/>
      <c r="O23" s="190" t="n"/>
      <c r="P23" s="190" t="n"/>
      <c r="Q23" s="190" t="n"/>
      <c r="R23" s="191" t="n"/>
      <c r="S23" s="191" t="n"/>
      <c r="T23" s="190" t="n"/>
      <c r="U23" s="190" t="n"/>
      <c r="V23" s="190" t="n"/>
      <c r="W23" s="190" t="n"/>
      <c r="X23" s="190" t="n"/>
      <c r="Y23" s="191" t="n"/>
      <c r="Z23" s="191" t="n"/>
      <c r="AA23" s="190" t="n"/>
      <c r="AB23" s="190" t="n"/>
      <c r="AC23" s="192" t="n"/>
      <c r="AD23" s="192" t="n"/>
      <c r="AE23" s="192" t="n"/>
      <c r="AF23" s="191" t="n"/>
      <c r="AG23" s="191" t="n"/>
      <c r="AH23" s="192" t="n"/>
      <c r="AI23" s="192" t="n"/>
      <c r="AJ23" s="190" t="n"/>
      <c r="AK23" s="190" t="n"/>
      <c r="AL23" s="190" t="n"/>
    </row>
    <row r="24" ht="19.5" customHeight="1" s="149">
      <c r="A24" s="1" t="n"/>
      <c r="B24" s="99" t="inlineStr">
        <is>
          <t>9.0</t>
        </is>
      </c>
      <c r="C24" s="100" t="inlineStr">
        <is>
          <t>Test Execution - Round 2 (Smoke + Retest + Recheck bug + Regression TMĐT)</t>
        </is>
      </c>
      <c r="D24" s="99" t="inlineStr">
        <is>
          <t>Functional</t>
        </is>
      </c>
      <c r="E24" s="101" t="inlineStr">
        <is>
          <t>● Cao</t>
        </is>
      </c>
      <c r="F24" s="102" t="n"/>
      <c r="G24" s="103" t="n">
        <v>20</v>
      </c>
      <c r="H24" s="104" t="n">
        <v>46330</v>
      </c>
      <c r="I24" s="104" t="n">
        <v>46336</v>
      </c>
      <c r="J24" s="105">
        <f>NETWORKDAYS(H24,I24)</f>
        <v/>
      </c>
      <c r="K24" s="106" t="inlineStr">
        <is>
          <t>HuyenNHK, GiangDC2, AnhPTM17, DatDGD</t>
        </is>
      </c>
      <c r="L24" s="1" t="n"/>
      <c r="M24" s="97" t="n"/>
      <c r="N24" s="97" t="n"/>
      <c r="O24" s="97" t="n"/>
      <c r="P24" s="97" t="n"/>
      <c r="Q24" s="97" t="n"/>
      <c r="R24" s="179" t="n"/>
      <c r="S24" s="179" t="n"/>
      <c r="T24" s="97" t="n"/>
      <c r="U24" s="97" t="n"/>
      <c r="V24" s="97" t="n"/>
      <c r="W24" s="97" t="n"/>
      <c r="X24" s="97" t="n"/>
      <c r="Y24" s="179" t="n"/>
      <c r="Z24" s="179" t="n"/>
      <c r="AA24" s="97" t="n"/>
      <c r="AB24" s="97" t="n"/>
      <c r="AC24" s="181" t="n"/>
      <c r="AD24" s="181" t="n"/>
      <c r="AE24" s="181" t="n"/>
      <c r="AF24" s="179" t="n"/>
      <c r="AG24" s="179" t="n"/>
      <c r="AH24" s="181" t="n"/>
      <c r="AI24" s="181" t="n"/>
      <c r="AJ24" s="97" t="n"/>
      <c r="AK24" s="97" t="n"/>
      <c r="AL24" s="97" t="n"/>
    </row>
    <row r="25" ht="19.5" customHeight="1" s="149">
      <c r="A25" s="1" t="n"/>
      <c r="B25" s="87" t="inlineStr">
        <is>
          <t>10.0</t>
        </is>
      </c>
      <c r="C25" s="88" t="inlineStr">
        <is>
          <t>▼ Round 3</t>
        </is>
      </c>
      <c r="D25" s="89" t="inlineStr">
        <is>
          <t>Functional</t>
        </is>
      </c>
      <c r="E25" s="90" t="n"/>
      <c r="F25" s="91" t="n"/>
      <c r="G25" s="92">
        <f>SUM(G26:G26)</f>
        <v/>
      </c>
      <c r="H25" s="93">
        <f>MIN(H26:H26)</f>
        <v/>
      </c>
      <c r="I25" s="93">
        <f>MAX(I26:I26)</f>
        <v/>
      </c>
      <c r="J25" s="94">
        <f>NETWORKDAYS(H25,I25)</f>
        <v/>
      </c>
      <c r="K25" s="95" t="n"/>
      <c r="L25" s="1" t="n"/>
      <c r="M25" s="97" t="n"/>
      <c r="N25" s="97" t="n"/>
      <c r="O25" s="97" t="n"/>
      <c r="P25" s="97" t="n"/>
      <c r="Q25" s="97" t="n"/>
      <c r="R25" s="179" t="n"/>
      <c r="S25" s="179" t="n"/>
      <c r="T25" s="97" t="n"/>
      <c r="U25" s="97" t="n"/>
      <c r="V25" s="97" t="n"/>
      <c r="W25" s="97" t="n"/>
      <c r="X25" s="97" t="n"/>
      <c r="Y25" s="179" t="n"/>
      <c r="Z25" s="179" t="n"/>
      <c r="AA25" s="97" t="n"/>
      <c r="AB25" s="97" t="n"/>
      <c r="AC25" s="97" t="n"/>
      <c r="AD25" s="97" t="n"/>
      <c r="AE25" s="97" t="n"/>
      <c r="AF25" s="179" t="n"/>
      <c r="AG25" s="179" t="n"/>
      <c r="AH25" s="97" t="n"/>
      <c r="AI25" s="97" t="n"/>
      <c r="AJ25" s="97" t="n"/>
      <c r="AK25" s="180" t="n"/>
      <c r="AL25" s="180" t="n"/>
    </row>
    <row r="26" ht="19.5" customHeight="1" s="149">
      <c r="A26" s="1" t="n"/>
      <c r="B26" s="99" t="inlineStr">
        <is>
          <t>11.0</t>
        </is>
      </c>
      <c r="C26" s="100" t="inlineStr">
        <is>
          <t>Test Execution - Round 3 (Recheck bug)</t>
        </is>
      </c>
      <c r="D26" s="99" t="inlineStr">
        <is>
          <t>Functional</t>
        </is>
      </c>
      <c r="E26" s="101" t="inlineStr">
        <is>
          <t>● Cao</t>
        </is>
      </c>
      <c r="F26" s="102" t="n"/>
      <c r="G26" s="103" t="n">
        <v>8</v>
      </c>
      <c r="H26" s="104" t="n">
        <v>46338</v>
      </c>
      <c r="I26" s="104" t="n">
        <v>46339</v>
      </c>
      <c r="J26" s="105">
        <f>NETWORKDAYS(H26,I26)</f>
        <v/>
      </c>
      <c r="K26" s="106" t="inlineStr">
        <is>
          <t>HuyenNHK, GiangDC2, AnhPTM17, DatDGD</t>
        </is>
      </c>
      <c r="L26" s="1" t="n"/>
      <c r="M26" s="97" t="n"/>
      <c r="N26" s="97" t="n"/>
      <c r="O26" s="97" t="n"/>
      <c r="P26" s="97" t="n"/>
      <c r="Q26" s="97" t="n"/>
      <c r="R26" s="179" t="n"/>
      <c r="S26" s="179" t="n"/>
      <c r="T26" s="97" t="n"/>
      <c r="U26" s="97" t="n"/>
      <c r="V26" s="97" t="n"/>
      <c r="W26" s="97" t="n"/>
      <c r="X26" s="97" t="n"/>
      <c r="Y26" s="179" t="n"/>
      <c r="Z26" s="179" t="n"/>
      <c r="AA26" s="97" t="n"/>
      <c r="AB26" s="97" t="n"/>
      <c r="AC26" s="97" t="n"/>
      <c r="AD26" s="97" t="n"/>
      <c r="AE26" s="97" t="n"/>
      <c r="AF26" s="179" t="n"/>
      <c r="AG26" s="179" t="n"/>
      <c r="AH26" s="97" t="n"/>
      <c r="AI26" s="97" t="n"/>
      <c r="AJ26" s="97" t="n"/>
      <c r="AK26" s="181" t="n"/>
      <c r="AL26" s="181" t="n"/>
    </row>
    <row r="27" ht="19.5" customHeight="1" s="149">
      <c r="A27" s="1" t="n"/>
      <c r="B27" s="99" t="n"/>
      <c r="C27" s="100" t="n"/>
      <c r="D27" s="99" t="n"/>
      <c r="E27" s="108" t="n"/>
      <c r="F27" s="102" t="n"/>
      <c r="G27" s="103" t="n"/>
      <c r="H27" s="104" t="n"/>
      <c r="I27" s="104" t="n"/>
      <c r="J27" s="105" t="n"/>
      <c r="K27" s="106" t="n"/>
      <c r="L27" s="1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  <c r="AA27" s="97" t="n"/>
      <c r="AB27" s="97" t="n"/>
      <c r="AC27" s="97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</row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1">
    <mergeCell ref="M14:AL14"/>
    <mergeCell ref="B7:C7"/>
    <mergeCell ref="G6:I6"/>
    <mergeCell ref="J5:K5"/>
    <mergeCell ref="D10:K10"/>
    <mergeCell ref="D7:F7"/>
    <mergeCell ref="G5:I5"/>
    <mergeCell ref="J6:K6"/>
    <mergeCell ref="B3:K3"/>
    <mergeCell ref="D5:F5"/>
    <mergeCell ref="B10:C10"/>
    <mergeCell ref="J7:K7"/>
    <mergeCell ref="B2:K2"/>
    <mergeCell ref="B9:C9"/>
    <mergeCell ref="D9:E9"/>
    <mergeCell ref="B11:K11"/>
    <mergeCell ref="B6:C6"/>
    <mergeCell ref="B14:K14"/>
    <mergeCell ref="B5:C5"/>
    <mergeCell ref="G7:I7"/>
    <mergeCell ref="D6:F6"/>
  </mergeCells>
  <dataValidations count="1">
    <dataValidation sqref="E18:E20 E22:E24 E26:E27" showDropDown="0" showInputMessage="0" showErrorMessage="0" allowBlank="1" type="list">
      <formula1>"● Cao,● Trung bình,● Thấp"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222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6" customWidth="1" style="149" min="2" max="2"/>
    <col width="40" customWidth="1" style="149" min="3" max="3"/>
    <col width="14" customWidth="1" style="149" min="4" max="4"/>
    <col width="11" customWidth="1" style="149" min="5" max="6"/>
    <col width="9" customWidth="1" style="149" min="7" max="7"/>
    <col width="11" customWidth="1" style="149" min="8" max="8"/>
    <col width="42" customWidth="1" style="149" min="9" max="9"/>
    <col width="16" customWidth="1" style="149" min="10" max="10"/>
    <col width="11" customWidth="1" style="149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>QUẢN LÝ RỦI RO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inlineStr">
        <is>
          <t>Rủi ro test ảnh hưởng tiến độ dự án. Khả năng xuất hiện × Ảnh hưởng (1–3) → Điểm &amp; Mức độ.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9">
      <c r="A5" s="1" t="n"/>
      <c r="B5" s="13" t="inlineStr">
        <is>
          <t>Thang: 1=Thấp · 2=TB · 3=Cao. Mức độ: Điểm ≥6 = Cao · 3–4 = TB · ≤2 = Thấp. Cập nhật cùng sheet Plan mỗi tuần/sprint.</t>
        </is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 s="149">
      <c r="A6" s="1" t="n"/>
      <c r="B6" s="14" t="inlineStr">
        <is>
          <t>A. SỔ RỦI RO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1.5" customHeight="1" s="149">
      <c r="A7" s="1" t="n"/>
      <c r="B7" s="55" t="inlineStr">
        <is>
          <t>ID</t>
        </is>
      </c>
      <c r="C7" s="55" t="inlineStr">
        <is>
          <t>Rủi ro</t>
        </is>
      </c>
      <c r="D7" s="55" t="inlineStr">
        <is>
          <t>Nhóm</t>
        </is>
      </c>
      <c r="E7" s="55" t="inlineStr">
        <is>
          <t>Khả năng xuất hiện</t>
        </is>
      </c>
      <c r="F7" s="55" t="inlineStr">
        <is>
          <t>Ảnh hưởng</t>
        </is>
      </c>
      <c r="G7" s="55" t="inlineStr">
        <is>
          <t>Điểm</t>
        </is>
      </c>
      <c r="H7" s="55" t="inlineStr">
        <is>
          <t>Mức độ</t>
        </is>
      </c>
      <c r="I7" s="55" t="inlineStr">
        <is>
          <t>Biện pháp giảm thiểu</t>
        </is>
      </c>
      <c r="J7" s="55" t="inlineStr">
        <is>
          <t>Người phụ trách</t>
        </is>
      </c>
      <c r="K7" s="55" t="inlineStr">
        <is>
          <t>Trạng thái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149">
      <c r="A8" s="1" t="n"/>
      <c r="B8" s="25" t="n">
        <v>1</v>
      </c>
      <c r="C8" s="58" t="inlineStr">
        <is>
          <t>Data đơn hàng từ các kênh bán không sẵn sàng hoặc support chậm</t>
        </is>
      </c>
      <c r="D8" s="25" t="inlineStr"/>
      <c r="E8" s="25" t="n">
        <v>3</v>
      </c>
      <c r="F8" s="25" t="n">
        <v>3</v>
      </c>
      <c r="G8" s="113">
        <f>E8*F8</f>
        <v/>
      </c>
      <c r="H8" s="113">
        <f>IF(G8&gt;=6,"Cao",IF(G8&gt;=3,"Trung bình","Thấp"))</f>
        <v/>
      </c>
      <c r="I8" s="58" t="inlineStr">
        <is>
          <t>Cần PM và các kênh bán hỗ trợ tạo / cung cấp đơn hàng bán mới, bán thêm trên STG; book lịch sớm với từng kênh và chốt qua email</t>
        </is>
      </c>
      <c r="J8" s="25" t="inlineStr">
        <is>
          <t>PM</t>
        </is>
      </c>
      <c r="K8" s="25" t="inlineStr">
        <is>
          <t>Open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7.75" customHeight="1" s="149">
      <c r="A9" s="1" t="n"/>
      <c r="B9" s="25" t="n">
        <v>2</v>
      </c>
      <c r="C9" s="58" t="inlineStr">
        <is>
          <t>Hệ thống liên kết (SPF, Billing, phiếu thi công / Vendor / quầy, kênh thanh toán, đội EVC, HĐĐT, Dịch vụ) không sẵn sàng, không ổn định trên STG hoặc support không kịp thời, làm gián đoạn và ảnh hưởng thời gian test</t>
        </is>
      </c>
      <c r="D9" s="25" t="inlineStr"/>
      <c r="E9" s="25" t="n">
        <v>3</v>
      </c>
      <c r="F9" s="25" t="n">
        <v>3</v>
      </c>
      <c r="G9" s="113">
        <f>E9*F9</f>
        <v/>
      </c>
      <c r="H9" s="113">
        <f>IF(G9&gt;=6,"Cao",IF(G9&gt;=3,"Trung bình","Thấp"))</f>
        <v/>
      </c>
      <c r="I9" s="58" t="inlineStr">
        <is>
          <t>PM thông báo trước lịch test cho các đầu mối hệ thống liên kết và điều phối support trong suốt các round; QC kiểm tra trạng thái hệ thống trước mỗi round, dùng hệ thống giả lập khi hệ thống thật chưa sẵn sàng</t>
        </is>
      </c>
      <c r="J9" s="25" t="inlineStr">
        <is>
          <t>PM</t>
        </is>
      </c>
      <c r="K9" s="25" t="inlineStr">
        <is>
          <t>Open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7.75" customHeight="1" s="149">
      <c r="A10" s="1" t="n"/>
      <c r="B10" s="25" t="n">
        <v>3</v>
      </c>
      <c r="C10" s="58" t="inlineStr">
        <is>
          <t>Log Kafka về trùng, sai thứ tự hoặc chậm làm sai kết quả phát hành / gạch nợ hóa đơn</t>
        </is>
      </c>
      <c r="D10" s="25" t="inlineStr"/>
      <c r="E10" s="25" t="n">
        <v>2</v>
      </c>
      <c r="F10" s="25" t="n">
        <v>3</v>
      </c>
      <c r="G10" s="113">
        <f>E10*F10</f>
        <v/>
      </c>
      <c r="H10" s="113">
        <f>IF(G10&gt;=6,"Cao",IF(G10&gt;=3,"Trung bình","Thấp"))</f>
        <v/>
      </c>
      <c r="I10" s="58" t="inlineStr">
        <is>
          <t>Test các chuỗi log Kafka gửi theo thứ tự khác nhau và gửi lặp; kiểm tra hệ thống lấy đúng lần gửi cuối cùng và không xử lý trùng</t>
        </is>
      </c>
      <c r="J10" s="25" t="inlineStr">
        <is>
          <t>QC Lead</t>
        </is>
      </c>
      <c r="K10" s="25" t="inlineStr">
        <is>
          <t>Open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7.75" customHeight="1" s="149">
      <c r="A11" s="1" t="n"/>
      <c r="B11" s="25" t="n">
        <v>4</v>
      </c>
      <c r="C11" s="58" t="inlineStr">
        <is>
          <t>Effort theo lịch (19/10–13/11/2026) thấp hơn effort estimate (145 md) cho 1.264 TC, phần lớn do ma trận kênh × nhóm dịch vụ × bán mới / bán thêm</t>
        </is>
      </c>
      <c r="D11" s="25" t="inlineStr"/>
      <c r="E11" s="25" t="n">
        <v>3</v>
      </c>
      <c r="F11" s="25" t="n">
        <v>3</v>
      </c>
      <c r="G11" s="113">
        <f>E11*F11</f>
        <v/>
      </c>
      <c r="H11" s="113">
        <f>IF(G11&gt;=6,"Cao",IF(G11&gt;=3,"Trung bình","Thấp"))</f>
        <v/>
      </c>
      <c r="I11" s="58" t="inlineStr">
        <is>
          <t>Áp dụng AI vào gen testcase và phần tạo data; QC Lead theo dõi tiến độ hằng ngày</t>
        </is>
      </c>
      <c r="J11" s="25" t="inlineStr">
        <is>
          <t>QC Lead</t>
        </is>
      </c>
      <c r="K11" s="25" t="inlineStr">
        <is>
          <t>Open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7.75" customHeight="1" s="149">
      <c r="A12" s="1" t="n"/>
      <c r="B12" s="25" t="n">
        <v>5</v>
      </c>
      <c r="C12" s="58" t="inlineStr">
        <is>
          <t>Job xuất hóa đơn chạy theo lịch chưa chạy xong khi QC kiểm tra kết quả</t>
        </is>
      </c>
      <c r="D12" s="25" t="inlineStr"/>
      <c r="E12" s="25" t="n">
        <v>3</v>
      </c>
      <c r="F12" s="25" t="n">
        <v>2</v>
      </c>
      <c r="G12" s="113">
        <f>E12*F12</f>
        <v/>
      </c>
      <c r="H12" s="113">
        <f>IF(G12&gt;=6,"Cao",IF(G12&gt;=3,"Trung bình","Thấp"))</f>
        <v/>
      </c>
      <c r="I12" s="58" t="inlineStr">
        <is>
          <t>Chỉnh lịch chạy job trên STG theo giờ test; ghi rõ thời gian cần chờ trong TC; kiểm tra lại kết quả định kỳ cho tới khi job chạy xong</t>
        </is>
      </c>
      <c r="J12" s="25" t="inlineStr">
        <is>
          <t>QC Lead</t>
        </is>
      </c>
      <c r="K12" s="25" t="inlineStr">
        <is>
          <t>Open</t>
        </is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7.75" customHeight="1" s="149">
      <c r="A13" s="1" t="n"/>
      <c r="B13" s="25" t="n">
        <v>6</v>
      </c>
      <c r="C13" s="58" t="inlineStr">
        <is>
          <t>Phát sinh nhiều bug, bug fix chậm, bug thuộc hệ thống liên kết</t>
        </is>
      </c>
      <c r="D13" s="25" t="inlineStr"/>
      <c r="E13" s="25" t="n">
        <v>3</v>
      </c>
      <c r="F13" s="25" t="n">
        <v>3</v>
      </c>
      <c r="G13" s="113">
        <f>E13*F13</f>
        <v/>
      </c>
      <c r="H13" s="113">
        <f>IF(G13&gt;=6,"Cao",IF(G13&gt;=3,"Trung bình","Thấp"))</f>
        <v/>
      </c>
      <c r="I13" s="58" t="inlineStr">
        <is>
          <t>PM / Dev fix bug kịp timeline và kiểm soát chất lượng fix bug; bug của hệ thống liên kết do PM chuyển đầu mối hệ thống đó</t>
        </is>
      </c>
      <c r="J13" s="25" t="inlineStr">
        <is>
          <t>PM / Dev</t>
        </is>
      </c>
      <c r="K13" s="25" t="inlineStr">
        <is>
          <t>Open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25" t="n">
        <v>7</v>
      </c>
      <c r="C14" s="58" t="inlineStr">
        <is>
          <t>Các loại EVC chưa chốt (EVC bị lock khi gạch nợ bằng tiền khách, Paid voucher, dòng EVC / chiết khấu trên HĐĐT) — chậm chốt thì TC gạch nợ và hậu kỳ phải viết lại, ảnh hưởng lịch test</t>
        </is>
      </c>
      <c r="D14" s="25" t="inlineStr"/>
      <c r="E14" s="25" t="n">
        <v>3</v>
      </c>
      <c r="F14" s="25" t="n">
        <v>3</v>
      </c>
      <c r="G14" s="113">
        <f>E14*F14</f>
        <v/>
      </c>
      <c r="H14" s="113">
        <f>IF(G14&gt;=6,"Cao",IF(G14&gt;=3,"Trung bình","Thấp"))</f>
        <v/>
      </c>
      <c r="I14" s="58" t="inlineStr">
        <is>
          <t>PM / BA chốt danh sách loại EVC trong phạm vi test trước 16/10/2026; chưa chốt thì QC viết TC theo giả định và cập nhật lại khi có xác nhận</t>
        </is>
      </c>
      <c r="J14" s="25" t="inlineStr">
        <is>
          <t>PM / BA</t>
        </is>
      </c>
      <c r="K14" s="25" t="inlineStr">
        <is>
          <t>Open</t>
        </is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idden="1" ht="27.75" customHeight="1" s="149">
      <c r="A15" s="1" t="n"/>
      <c r="B15" s="25" t="n"/>
      <c r="C15" s="58" t="n"/>
      <c r="D15" s="193" t="n"/>
      <c r="E15" s="25" t="n"/>
      <c r="F15" s="25" t="n"/>
      <c r="G15" s="113" t="n"/>
      <c r="H15" s="113" t="n"/>
      <c r="I15" s="58" t="n"/>
      <c r="J15" s="25" t="n"/>
      <c r="K15" s="25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idden="1" ht="27.75" customHeight="1" s="149">
      <c r="A16" s="1" t="n"/>
      <c r="B16" s="25" t="n"/>
      <c r="C16" s="58" t="n"/>
      <c r="D16" s="193" t="n"/>
      <c r="E16" s="25" t="n"/>
      <c r="F16" s="25" t="n"/>
      <c r="G16" s="113" t="n"/>
      <c r="H16" s="113" t="n"/>
      <c r="I16" s="58" t="n"/>
      <c r="J16" s="25" t="n"/>
      <c r="K16" s="25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149">
      <c r="A18" s="1" t="n"/>
      <c r="B18" s="14" t="inlineStr">
        <is>
          <t>B. THỐNG KÊ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15" t="inlineStr">
        <is>
          <t>Mức độ</t>
        </is>
      </c>
      <c r="D19" s="115" t="inlineStr">
        <is>
          <t>SL</t>
        </is>
      </c>
      <c r="E19" s="1" t="n"/>
      <c r="F19" s="1" t="n"/>
      <c r="G19" s="1" t="n"/>
      <c r="H19" s="115" t="inlineStr">
        <is>
          <t>Trạng thái</t>
        </is>
      </c>
      <c r="I19" s="115" t="inlineStr">
        <is>
          <t>SL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16" t="inlineStr">
        <is>
          <t>Cao</t>
        </is>
      </c>
      <c r="D20" s="117">
        <f>COUNTIF(H8:H14,"Cao")</f>
        <v/>
      </c>
      <c r="E20" s="1" t="n"/>
      <c r="F20" s="1" t="n"/>
      <c r="G20" s="1" t="n"/>
      <c r="H20" s="118" t="inlineStr">
        <is>
          <t>Open</t>
        </is>
      </c>
      <c r="I20" s="117">
        <f>COUNTIF(K8:K14,"Open")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49">
      <c r="A21" s="1" t="n"/>
      <c r="B21" s="1" t="n"/>
      <c r="C21" s="119" t="inlineStr">
        <is>
          <t>Trung bình</t>
        </is>
      </c>
      <c r="D21" s="117">
        <f>COUNTIF(H8:H14,"Trung bình")</f>
        <v/>
      </c>
      <c r="E21" s="1" t="n"/>
      <c r="F21" s="1" t="n"/>
      <c r="G21" s="1" t="n"/>
      <c r="H21" s="118" t="inlineStr">
        <is>
          <t>Closed</t>
        </is>
      </c>
      <c r="I21" s="117">
        <f>COUNTIF(K8:K14,"Closed")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9">
      <c r="A22" s="1" t="n"/>
      <c r="B22" s="1" t="n"/>
      <c r="C22" s="120" t="inlineStr">
        <is>
          <t>Thấp</t>
        </is>
      </c>
      <c r="D22" s="117">
        <f>COUNTIF(H8:H14,"Thấp")</f>
        <v/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5">
    <mergeCell ref="B18:K18"/>
    <mergeCell ref="B6:K6"/>
    <mergeCell ref="B2:K2"/>
    <mergeCell ref="B3:K3"/>
    <mergeCell ref="B5:K5"/>
  </mergeCells>
  <dataValidations count="2">
    <dataValidation sqref="K8:K16" showDropDown="0" showInputMessage="0" showErrorMessage="0" allowBlank="1" type="list">
      <formula1>"Open,In Progress,Closed"</formula1>
    </dataValidation>
    <dataValidation sqref="E8:F16" showDropDown="0" showInputMessage="0" showErrorMessage="0" allowBlank="1" type="list">
      <formula1>"1,2,3"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249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9" min="1" max="1"/>
    <col width="6" customWidth="1" style="149" min="2" max="2"/>
    <col width="26" customWidth="1" style="149" min="3" max="3"/>
    <col width="14" customWidth="1" style="149" min="4" max="4"/>
    <col width="30" customWidth="1" style="149" min="5" max="5"/>
    <col width="22" customWidth="1" style="149" min="6" max="7"/>
    <col width="20" customWidth="1" style="149" min="8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149">
      <c r="A2" s="1" t="n"/>
      <c r="B2" s="11" t="inlineStr">
        <is>
          <t xml:space="preserve">TEST STRATEGY &amp; ĐẶC TẢ 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149">
      <c r="A5" s="1" t="n"/>
      <c r="B5" s="14" t="inlineStr">
        <is>
          <t>A. HƯỚNG / LOẠI TEST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9">
      <c r="A6" s="1" t="n"/>
      <c r="B6" s="121" t="inlineStr">
        <is>
          <t>#</t>
        </is>
      </c>
      <c r="C6" s="121" t="inlineStr">
        <is>
          <t>Loại test</t>
        </is>
      </c>
      <c r="D6" s="121" t="inlineStr">
        <is>
          <t>Áp dụng</t>
        </is>
      </c>
      <c r="E6" s="121" t="inlineStr">
        <is>
          <t>Round áp dụng</t>
        </is>
      </c>
      <c r="F6" s="121" t="inlineStr">
        <is>
          <t>Mô tả</t>
        </is>
      </c>
      <c r="G6" s="153" t="n"/>
      <c r="H6" s="153" t="n"/>
      <c r="I6" s="15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149">
      <c r="A7" s="1" t="n"/>
      <c r="B7" s="57" t="n">
        <v>1</v>
      </c>
      <c r="C7" s="58" t="inlineStr">
        <is>
          <t>Functional Testing</t>
        </is>
      </c>
      <c r="D7" s="57" t="inlineStr">
        <is>
          <t>Yes</t>
        </is>
      </c>
      <c r="E7" s="57" t="inlineStr">
        <is>
          <t>1, 2, 3</t>
        </is>
      </c>
      <c r="F7" s="58" t="inlineStr">
        <is>
          <t>R1: toàn bộ scope 3 module (FR01–FR11) trên STG, E2E qua log Kafka + dữ liệu bảng. R2: retest TC fail + recheck bug + hồi quy luồng TMĐT Phase 1. R3: recheck bug</t>
        </is>
      </c>
      <c r="G7" s="153" t="n"/>
      <c r="H7" s="153" t="n"/>
      <c r="I7" s="15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8" customHeight="1" s="149">
      <c r="A8" s="1" t="n"/>
      <c r="B8" s="57" t="n">
        <v>2</v>
      </c>
      <c r="C8" s="58" t="inlineStr">
        <is>
          <t>Exploratory Testing</t>
        </is>
      </c>
      <c r="D8" s="57" t="inlineStr">
        <is>
          <t>Yes</t>
        </is>
      </c>
      <c r="E8" s="57" t="inlineStr">
        <is>
          <t>1</t>
        </is>
      </c>
      <c r="F8" s="58" t="inlineStr">
        <is>
          <t>Edge case tích hợp: log Kafka trùng / đảo thứ tự, tín hiệu sát giờ chốt, đơn FPL sát mốc delay 2h / 22h, đơn nhiều phương thức triển khai</t>
        </is>
      </c>
      <c r="G8" s="153" t="n"/>
      <c r="H8" s="153" t="n"/>
      <c r="I8" s="15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" customHeight="1" s="149">
      <c r="A9" s="1" t="n"/>
      <c r="B9" s="57" t="n">
        <v>3</v>
      </c>
      <c r="C9" s="58" t="inlineStr">
        <is>
          <t>Smoke Testing</t>
        </is>
      </c>
      <c r="D9" s="57" t="inlineStr">
        <is>
          <t>Yes</t>
        </is>
      </c>
      <c r="E9" s="57" t="inlineStr">
        <is>
          <t>1, 2</t>
        </is>
      </c>
      <c r="F9" s="58" t="inlineStr">
        <is>
          <t>Đầu mỗi round: kết nối Kafka, worker chạy đúng lịch cấu hình, Billing / API liên kết phản hồi</t>
        </is>
      </c>
      <c r="G9" s="153" t="n"/>
      <c r="H9" s="153" t="n"/>
      <c r="I9" s="15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8" customHeight="1" s="149">
      <c r="A10" s="1" t="n"/>
      <c r="B10" s="57" t="n">
        <v>4</v>
      </c>
      <c r="C10" s="58" t="inlineStr">
        <is>
          <t>UAT</t>
        </is>
      </c>
      <c r="D10" s="57" t="inlineStr">
        <is>
          <t>No</t>
        </is>
      </c>
      <c r="E10" s="57" t="inlineStr">
        <is>
          <t>—</t>
        </is>
      </c>
      <c r="F10" s="58" t="inlineStr">
        <is>
          <t>Đối soát FHR do FHR nghiệm thu ở UAT — ngoài phạm vi QC</t>
        </is>
      </c>
      <c r="G10" s="153" t="n"/>
      <c r="H10" s="153" t="n"/>
      <c r="I10" s="15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8" customHeight="1" s="149">
      <c r="A11" s="1" t="n"/>
      <c r="B11" s="57" t="n">
        <v>5</v>
      </c>
      <c r="C11" s="58" t="inlineStr">
        <is>
          <t>Performance Testing</t>
        </is>
      </c>
      <c r="D11" s="57" t="inlineStr">
        <is>
          <t>No</t>
        </is>
      </c>
      <c r="E11" s="57" t="inlineStr">
        <is>
          <t>—</t>
        </is>
      </c>
      <c r="F11" s="58" t="inlineStr">
        <is>
          <t>URD không có SLA</t>
        </is>
      </c>
      <c r="G11" s="153" t="n"/>
      <c r="H11" s="153" t="n"/>
      <c r="I11" s="15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149">
      <c r="A12" s="1" t="n"/>
      <c r="B12" s="57" t="n">
        <v>6</v>
      </c>
      <c r="C12" s="58" t="inlineStr">
        <is>
          <t>Security Testing</t>
        </is>
      </c>
      <c r="D12" s="57" t="inlineStr">
        <is>
          <t>No</t>
        </is>
      </c>
      <c r="E12" s="57" t="inlineStr">
        <is>
          <t>—</t>
        </is>
      </c>
      <c r="F12" s="58" t="inlineStr">
        <is>
          <t>Không có yêu cầu</t>
        </is>
      </c>
      <c r="G12" s="153" t="n"/>
      <c r="H12" s="153" t="n"/>
      <c r="I12" s="15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idden="1" ht="18" customHeight="1" s="149">
      <c r="A13" s="1" t="n"/>
      <c r="B13" s="122" t="n"/>
      <c r="C13" s="123" t="n"/>
      <c r="D13" s="122" t="n"/>
      <c r="E13" s="122" t="n"/>
      <c r="F13" s="58" t="n"/>
      <c r="G13" s="153" t="n"/>
      <c r="H13" s="153" t="n"/>
      <c r="I13" s="15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 s="149">
      <c r="A15" s="1" t="n"/>
      <c r="B15" s="14" t="inlineStr">
        <is>
          <t>B. MÔI TRƯỜNG TEST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9">
      <c r="A16" s="1" t="n"/>
      <c r="B16" s="121" t="inlineStr">
        <is>
          <t>#</t>
        </is>
      </c>
      <c r="C16" s="121" t="inlineStr">
        <is>
          <t>Môi trường</t>
        </is>
      </c>
      <c r="D16" s="121" t="inlineStr">
        <is>
          <t>URL/Địa chỉ</t>
        </is>
      </c>
      <c r="E16" s="121" t="inlineStr">
        <is>
          <t>Dữ liệu</t>
        </is>
      </c>
      <c r="F16" s="121" t="inlineStr">
        <is>
          <t>Người QL</t>
        </is>
      </c>
      <c r="G16" s="151" t="n"/>
      <c r="H16" s="121" t="inlineStr">
        <is>
          <t>Sẵn sàng?</t>
        </is>
      </c>
      <c r="I16" s="15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149">
      <c r="A17" s="1" t="n"/>
      <c r="B17" s="25" t="n">
        <v>1</v>
      </c>
      <c r="C17" s="25" t="inlineStr">
        <is>
          <t>STG</t>
        </is>
      </c>
      <c r="D17" s="124" t="inlineStr">
        <is>
          <t>TBD</t>
        </is>
      </c>
      <c r="E17" s="25" t="inlineStr">
        <is>
          <t>Đơn bán mới + bán thêm theo 17 kênh × 20 nhóm dịch vụ; DV + TB nhiều phương thức triển khai; HĐ tổ chức / HĐ con; Paid các trạng thái; tồn cọc theo loại</t>
        </is>
      </c>
      <c r="F17" s="25" t="inlineStr">
        <is>
          <t>Dev Lead / DevOps</t>
        </is>
      </c>
      <c r="G17" s="151" t="n"/>
      <c r="H17" s="25" t="inlineStr">
        <is>
          <t>TBD</t>
        </is>
      </c>
      <c r="I17" s="15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idden="1" s="149">
      <c r="A18" s="1" t="n"/>
      <c r="B18" s="25" t="n"/>
      <c r="C18" s="25" t="n"/>
      <c r="D18" s="124" t="n"/>
      <c r="E18" s="25" t="n"/>
      <c r="F18" s="25" t="n"/>
      <c r="G18" s="151" t="n"/>
      <c r="H18" s="25" t="n"/>
      <c r="I18" s="15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idden="1" ht="18" customHeight="1" s="149">
      <c r="A19" s="1" t="n"/>
      <c r="B19" s="25" t="n"/>
      <c r="C19" s="25" t="n"/>
      <c r="D19" s="124" t="n"/>
      <c r="E19" s="25" t="n"/>
      <c r="F19" s="25" t="n"/>
      <c r="G19" s="151" t="n"/>
      <c r="H19" s="25" t="n"/>
      <c r="I19" s="15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149">
      <c r="A21" s="1" t="n"/>
      <c r="B21" s="14" t="inlineStr">
        <is>
          <t>C. CHIẾN LƯỢC SDLC &amp; ƯỚC LƯỢNG EFFORT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9">
      <c r="A22" s="1" t="n"/>
      <c r="B22" s="125" t="inlineStr">
        <is>
          <t>Effort hiệu quả (đưa vào sheet Plan) = Effort thủ công × (1 − % AI hỗ trợ).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7.75" customHeight="1" s="149">
      <c r="A23" s="1" t="n"/>
      <c r="B23" s="126" t="inlineStr">
        <is>
          <t>ID</t>
        </is>
      </c>
      <c r="C23" s="126" t="inlineStr">
        <is>
          <t>Chức năng</t>
        </is>
      </c>
      <c r="D23" s="126" t="inlineStr">
        <is>
          <t>Effort thủ công (md)</t>
        </is>
      </c>
      <c r="E23" s="126" t="inlineStr">
        <is>
          <t>% AI hỗ trợ</t>
        </is>
      </c>
      <c r="F23" s="126" t="inlineStr">
        <is>
          <t>Effort hiệu quả (md)</t>
        </is>
      </c>
      <c r="G23" s="126" t="inlineStr">
        <is>
          <t>Hoạt động AI</t>
        </is>
      </c>
      <c r="H23" s="31" t="inlineStr">
        <is>
          <t>Trách nhiệm</t>
        </is>
      </c>
      <c r="I23" s="15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149">
      <c r="A24" s="1" t="n"/>
      <c r="B24" s="25" t="inlineStr">
        <is>
          <t>T01</t>
        </is>
      </c>
      <c r="C24" s="124" t="inlineStr">
        <is>
          <t>Đọc và clear nghiệp vụ</t>
        </is>
      </c>
      <c r="D24" s="29" t="n">
        <v>8</v>
      </c>
      <c r="E24" s="128" t="n">
        <v>0</v>
      </c>
      <c r="F24" s="129">
        <f>ROUND(D24*(1-E24),2)</f>
        <v/>
      </c>
      <c r="G24" s="58" t="inlineStr"/>
      <c r="H24" s="25" t="inlineStr">
        <is>
          <t>HuyenNHK, GiangDC2, AnhPTM17, DatDGD</t>
        </is>
      </c>
      <c r="I24" s="15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8" customHeight="1" s="149">
      <c r="A25" s="1" t="n"/>
      <c r="B25" s="25" t="inlineStr">
        <is>
          <t>T02</t>
        </is>
      </c>
      <c r="C25" s="124" t="inlineStr">
        <is>
          <t>Review và gen testcase (1.264 TC)</t>
        </is>
      </c>
      <c r="D25" s="29" t="n">
        <v>30</v>
      </c>
      <c r="E25" s="128" t="n">
        <v>0.8</v>
      </c>
      <c r="F25" s="129">
        <f>ROUND(D25*(1-E25),2)</f>
        <v/>
      </c>
      <c r="G25" s="58" t="inlineStr">
        <is>
          <t>generate-tc (AI gen TC 80%, QC review 100%)</t>
        </is>
      </c>
      <c r="H25" s="25" t="inlineStr">
        <is>
          <t>GiangDC2, AnhPTM17, DatDGD</t>
        </is>
      </c>
      <c r="I25" s="15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149">
      <c r="A26" s="1" t="n"/>
      <c r="B26" s="25" t="inlineStr">
        <is>
          <t>T03</t>
        </is>
      </c>
      <c r="C26" s="124" t="inlineStr">
        <is>
          <t>Update TC + Setup data</t>
        </is>
      </c>
      <c r="D26" s="29" t="n">
        <v>3</v>
      </c>
      <c r="E26" s="128" t="n">
        <v>0</v>
      </c>
      <c r="F26" s="129">
        <f>ROUND(D26*(1-E26),2)</f>
        <v/>
      </c>
      <c r="G26" s="58" t="inlineStr"/>
      <c r="H26" s="25" t="inlineStr">
        <is>
          <t>GiangDC2, AnhPTM17, DatDGD</t>
        </is>
      </c>
      <c r="I26" s="15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149">
      <c r="A27" s="1" t="n"/>
      <c r="B27" s="25" t="inlineStr">
        <is>
          <t>T04</t>
        </is>
      </c>
      <c r="C27" s="124" t="inlineStr">
        <is>
          <t>Test Execution - Round 1 (Smoke + Functional + Exploratory)</t>
        </is>
      </c>
      <c r="D27" s="29" t="n">
        <v>22.22</v>
      </c>
      <c r="E27" s="128" t="n">
        <v>0.1</v>
      </c>
      <c r="F27" s="129">
        <f>ROUND(D27*(1-E27),2)</f>
        <v/>
      </c>
      <c r="G27" s="58" t="inlineStr">
        <is>
          <t>AI hỗ trợ đối chiếu dữ liệu bảng / log Kafka</t>
        </is>
      </c>
      <c r="H27" s="25" t="inlineStr">
        <is>
          <t>HuyenNHK, GiangDC2, AnhPTM17, DatDGD</t>
        </is>
      </c>
      <c r="I27" s="15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" customHeight="1" s="149">
      <c r="A28" s="1" t="n"/>
      <c r="B28" s="25" t="inlineStr">
        <is>
          <t>T05</t>
        </is>
      </c>
      <c r="C28" s="124" t="inlineStr">
        <is>
          <t>Test Execution - Round 2 (Smoke + Retest + Recheck bug + Regression TMĐT)</t>
        </is>
      </c>
      <c r="D28" s="29" t="n">
        <v>22.22</v>
      </c>
      <c r="E28" s="128" t="n">
        <v>0.1</v>
      </c>
      <c r="F28" s="129">
        <f>ROUND(D28*(1-E28),2)</f>
        <v/>
      </c>
      <c r="G28" s="58" t="inlineStr">
        <is>
          <t>AI hỗ trợ đối chiếu dữ liệu bảng / log Kafka</t>
        </is>
      </c>
      <c r="H28" s="25" t="inlineStr">
        <is>
          <t>HuyenNHK, GiangDC2, AnhPTM17, DatDGD</t>
        </is>
      </c>
      <c r="I28" s="15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8" customHeight="1" s="149">
      <c r="A29" s="1" t="n"/>
      <c r="B29" s="25" t="inlineStr">
        <is>
          <t>T06</t>
        </is>
      </c>
      <c r="C29" s="124" t="inlineStr">
        <is>
          <t>Test Execution - Round 3 (Recheck bug)</t>
        </is>
      </c>
      <c r="D29" s="29" t="n">
        <v>8.890000000000001</v>
      </c>
      <c r="E29" s="128" t="n">
        <v>0.1</v>
      </c>
      <c r="F29" s="129">
        <f>ROUND(D29*(1-E29),2)</f>
        <v/>
      </c>
      <c r="G29" s="58" t="inlineStr">
        <is>
          <t>AI hỗ trợ đối chiếu dữ liệu bảng / log Kafka</t>
        </is>
      </c>
      <c r="H29" s="25" t="inlineStr">
        <is>
          <t>HuyenNHK, GiangDC2, AnhPTM17, DatDGD</t>
        </is>
      </c>
      <c r="I29" s="15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149">
      <c r="A30" s="1" t="n"/>
      <c r="B30" s="162" t="inlineStr">
        <is>
          <t>Tổng</t>
        </is>
      </c>
      <c r="C30" s="151" t="n"/>
      <c r="D30" s="130">
        <f>SUM(D24:D29)</f>
        <v/>
      </c>
      <c r="E30" s="131" t="n"/>
      <c r="F30" s="132">
        <f>ROUND(SUM(F24:F29),2)</f>
        <v/>
      </c>
      <c r="G30" s="194" t="n"/>
      <c r="H30" s="153" t="n"/>
      <c r="I30" s="15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.75" customHeight="1" s="149">
      <c r="A32" s="1" t="n"/>
      <c r="B32" s="195" t="inlineStr">
        <is>
          <t>D. ENTRY / EXIT CRITERIA  (checklist — chọn Áp dụng &amp; đánh giá Đạt)</t>
        </is>
      </c>
      <c r="C32" s="196" t="n"/>
      <c r="D32" s="196" t="n"/>
      <c r="E32" s="196" t="n"/>
      <c r="F32" s="196" t="n"/>
      <c r="G32" s="196" t="n"/>
      <c r="H32" s="196" t="n"/>
      <c r="I32" s="1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0" customHeight="1" s="149">
      <c r="A33" s="137" t="n"/>
      <c r="B33" s="198" t="inlineStr">
        <is>
          <t>Ngưỡng % TC Pass thống nhất (QC ⇄ PM):</t>
        </is>
      </c>
      <c r="C33" s="197" t="n"/>
      <c r="D33" s="139" t="n">
        <v>0.8</v>
      </c>
      <c r="E33" s="199" t="inlineStr">
        <is>
          <t>Chốt cùng PM ngay khi lập plan; dùng cho tiêu chí EXIT "% TC Pass ≥ ngưỡng". Nên ghi lại trong mail xác nhận scope &amp; trong Report.</t>
        </is>
      </c>
      <c r="F33" s="196" t="n"/>
      <c r="G33" s="196" t="n"/>
      <c r="H33" s="196" t="n"/>
      <c r="I33" s="197" t="n"/>
      <c r="J33" s="137" t="n"/>
      <c r="K33" s="137" t="n"/>
      <c r="L33" s="137" t="n"/>
      <c r="M33" s="137" t="n"/>
      <c r="N33" s="137" t="n"/>
      <c r="O33" s="137" t="n"/>
      <c r="P33" s="137" t="n"/>
      <c r="Q33" s="137" t="n"/>
      <c r="R33" s="137" t="n"/>
      <c r="S33" s="137" t="n"/>
      <c r="T33" s="137" t="n"/>
      <c r="U33" s="137" t="n"/>
      <c r="V33" s="137" t="n"/>
      <c r="W33" s="137" t="n"/>
      <c r="X33" s="137" t="n"/>
      <c r="Y33" s="137" t="n"/>
      <c r="Z33" s="137" t="n"/>
    </row>
    <row r="34" ht="15.75" customHeight="1" s="149">
      <c r="A34" s="1" t="n"/>
      <c r="B34" s="141" t="n"/>
      <c r="C34" s="142" t="n"/>
      <c r="D34" s="142" t="n"/>
      <c r="E34" s="142" t="n"/>
      <c r="F34" s="141" t="n"/>
      <c r="G34" s="142" t="n"/>
      <c r="H34" s="142" t="n"/>
      <c r="I34" s="142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9">
      <c r="A35" s="1" t="n"/>
      <c r="B35" s="200" t="inlineStr">
        <is>
          <t>ENTRY — Điều kiện BẮT ĐẦU test</t>
        </is>
      </c>
      <c r="C35" s="153" t="n"/>
      <c r="D35" s="153" t="n"/>
      <c r="E35" s="153" t="n"/>
      <c r="F35" s="153" t="n"/>
      <c r="G35" s="153" t="n"/>
      <c r="H35" s="153" t="n"/>
      <c r="I35" s="15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9">
      <c r="A36" s="1" t="n"/>
      <c r="B36" s="145" t="inlineStr">
        <is>
          <t>Tiêu chí</t>
        </is>
      </c>
      <c r="C36" s="197" t="n"/>
      <c r="D36" s="145" t="inlineStr">
        <is>
          <t>Áp dụng?</t>
        </is>
      </c>
      <c r="E36" s="145" t="inlineStr">
        <is>
          <t>Đạt?</t>
        </is>
      </c>
      <c r="F36" s="145" t="inlineStr">
        <is>
          <t>Ghi chú</t>
        </is>
      </c>
      <c r="G36" s="196" t="n"/>
      <c r="H36" s="196" t="n"/>
      <c r="I36" s="197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9">
      <c r="A37" s="1" t="n"/>
      <c r="B37" s="201" t="inlineStr">
        <is>
          <t>Build v2.0 đã deploy lên STG; đặc tả tích hợp (log Kafka, schema bảng, API) đã gửi QC</t>
        </is>
      </c>
      <c r="C37" s="197" t="n"/>
      <c r="D37" s="147" t="inlineStr">
        <is>
          <t>Có</t>
        </is>
      </c>
      <c r="E37" s="147" t="inlineStr">
        <is>
          <t>Đạt</t>
        </is>
      </c>
      <c r="F37" s="201" t="n"/>
      <c r="G37" s="196" t="n"/>
      <c r="H37" s="196" t="n"/>
      <c r="I37" s="197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9">
      <c r="A38" s="1" t="n"/>
      <c r="B38" s="201" t="inlineStr">
        <is>
          <t>Test data sẵn sàng: đơn bán mới + bán thêm theo kênh × nhóm dịch vụ, DV + TB nhiều phương thức triển khai, HĐ tổ chức / HĐ con, Paid các trạng thái, tồn cọc theo loại</t>
        </is>
      </c>
      <c r="C38" s="197" t="n"/>
      <c r="D38" s="147" t="inlineStr">
        <is>
          <t>Có</t>
        </is>
      </c>
      <c r="E38" s="147" t="inlineStr">
        <is>
          <t>Đạt</t>
        </is>
      </c>
      <c r="F38" s="201" t="n"/>
      <c r="G38" s="196" t="n"/>
      <c r="H38" s="196" t="n"/>
      <c r="I38" s="197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9">
      <c r="A39" s="1" t="n"/>
      <c r="B39" s="201" t="inlineStr">
        <is>
          <t>Billing, kênh thanh toán, đội EVC, HĐĐT, hệ thống Dịch vụ trên STG sẵn sàng hoặc có hệ thống giả lập</t>
        </is>
      </c>
      <c r="C39" s="197" t="n"/>
      <c r="D39" s="147" t="inlineStr">
        <is>
          <t>Có</t>
        </is>
      </c>
      <c r="E39" s="147" t="inlineStr">
        <is>
          <t>Đạt</t>
        </is>
      </c>
      <c r="F39" s="201" t="n"/>
      <c r="G39" s="196" t="n"/>
      <c r="H39" s="196" t="n"/>
      <c r="I39" s="197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9">
      <c r="A40" s="1" t="n"/>
      <c r="B40" s="201" t="inlineStr">
        <is>
          <t>QC phát được sự kiện đơn hàng / tín hiệu giao hàng / Paid lên STG, có quyền đọc DB INVOICE và chỉnh lịch worker</t>
        </is>
      </c>
      <c r="C40" s="197" t="n"/>
      <c r="D40" s="147" t="inlineStr">
        <is>
          <t>Có</t>
        </is>
      </c>
      <c r="E40" s="147" t="inlineStr">
        <is>
          <t>Đạt</t>
        </is>
      </c>
      <c r="F40" s="201" t="n"/>
      <c r="G40" s="196" t="n"/>
      <c r="H40" s="196" t="n"/>
      <c r="I40" s="197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5.75" customHeight="1" s="149">
      <c r="A41" s="1" t="n"/>
      <c r="B41" s="201" t="n"/>
      <c r="C41" s="197" t="n"/>
      <c r="D41" s="147" t="n"/>
      <c r="E41" s="147" t="n"/>
      <c r="F41" s="201" t="n"/>
      <c r="G41" s="196" t="n"/>
      <c r="H41" s="196" t="n"/>
      <c r="I41" s="1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9">
      <c r="A42" s="1" t="n"/>
      <c r="B42" s="148" t="n"/>
      <c r="C42" s="148" t="n"/>
      <c r="D42" s="148" t="n"/>
      <c r="E42" s="148" t="n"/>
      <c r="F42" s="148" t="n"/>
      <c r="G42" s="148" t="n"/>
      <c r="H42" s="148" t="n"/>
      <c r="I42" s="148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9">
      <c r="A43" s="1" t="n"/>
      <c r="B43" s="200" t="inlineStr">
        <is>
          <t>EXIT — Điều kiện KẾT THÚC test</t>
        </is>
      </c>
      <c r="C43" s="153" t="n"/>
      <c r="D43" s="153" t="n"/>
      <c r="E43" s="153" t="n"/>
      <c r="F43" s="153" t="n"/>
      <c r="G43" s="153" t="n"/>
      <c r="H43" s="153" t="n"/>
      <c r="I43" s="15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9">
      <c r="A44" s="1" t="n"/>
      <c r="B44" s="145" t="inlineStr">
        <is>
          <t>Tiêu chí</t>
        </is>
      </c>
      <c r="C44" s="197" t="n"/>
      <c r="D44" s="145" t="inlineStr">
        <is>
          <t>Áp dụng?</t>
        </is>
      </c>
      <c r="E44" s="145" t="inlineStr">
        <is>
          <t>Đạt?</t>
        </is>
      </c>
      <c r="F44" s="145" t="inlineStr">
        <is>
          <t>Ghi chú</t>
        </is>
      </c>
      <c r="G44" s="196" t="n"/>
      <c r="H44" s="196" t="n"/>
      <c r="I44" s="197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9">
      <c r="A45" s="1" t="n"/>
      <c r="B45" s="201" t="inlineStr">
        <is>
          <t>TC Review score ≥ 70</t>
        </is>
      </c>
      <c r="C45" s="197" t="n"/>
      <c r="D45" s="147" t="inlineStr">
        <is>
          <t>Có</t>
        </is>
      </c>
      <c r="E45" s="147" t="inlineStr">
        <is>
          <t>Đạt</t>
        </is>
      </c>
      <c r="F45" s="201" t="n"/>
      <c r="G45" s="196" t="n"/>
      <c r="H45" s="196" t="n"/>
      <c r="I45" s="197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9">
      <c r="A46" s="1" t="n"/>
      <c r="B46" s="201" t="inlineStr">
        <is>
          <t>100% TC P1 Pass</t>
        </is>
      </c>
      <c r="C46" s="197" t="n"/>
      <c r="D46" s="147" t="inlineStr">
        <is>
          <t>Có</t>
        </is>
      </c>
      <c r="E46" s="147" t="inlineStr">
        <is>
          <t>Đạt</t>
        </is>
      </c>
      <c r="F46" s="201" t="n"/>
      <c r="G46" s="196" t="n"/>
      <c r="H46" s="196" t="n"/>
      <c r="I46" s="197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9">
      <c r="A47" s="1" t="n"/>
      <c r="B47" s="201" t="inlineStr">
        <is>
          <t>Overall Pass ≥ 80%</t>
        </is>
      </c>
      <c r="C47" s="197" t="n"/>
      <c r="D47" s="147" t="inlineStr">
        <is>
          <t>Có</t>
        </is>
      </c>
      <c r="E47" s="147" t="inlineStr">
        <is>
          <t>Đạt</t>
        </is>
      </c>
      <c r="F47" s="201" t="n"/>
      <c r="G47" s="196" t="n"/>
      <c r="H47" s="196" t="n"/>
      <c r="I47" s="197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9">
      <c r="A48" s="1" t="n"/>
      <c r="B48" s="201" t="inlineStr">
        <is>
          <t>0 bug P1 Open; tỷ lệ fix bug ≥ 80%</t>
        </is>
      </c>
      <c r="C48" s="197" t="n"/>
      <c r="D48" s="147" t="inlineStr">
        <is>
          <t>Có</t>
        </is>
      </c>
      <c r="E48" s="147" t="inlineStr">
        <is>
          <t>Đạt</t>
        </is>
      </c>
      <c r="F48" s="201" t="n"/>
      <c r="G48" s="196" t="n"/>
      <c r="H48" s="196" t="n"/>
      <c r="I48" s="197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9">
      <c r="A49" s="1" t="n"/>
      <c r="B49" s="201" t="inlineStr">
        <is>
          <t>0 TC Blocked</t>
        </is>
      </c>
      <c r="C49" s="197" t="n"/>
      <c r="D49" s="147" t="inlineStr">
        <is>
          <t>Có</t>
        </is>
      </c>
      <c r="E49" s="147" t="inlineStr">
        <is>
          <t>Đạt</t>
        </is>
      </c>
      <c r="F49" s="201" t="n"/>
      <c r="G49" s="196" t="n"/>
      <c r="H49" s="196" t="n"/>
      <c r="I49" s="1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60">
    <mergeCell ref="F13:I13"/>
    <mergeCell ref="B47:C47"/>
    <mergeCell ref="F9:I9"/>
    <mergeCell ref="F16:G16"/>
    <mergeCell ref="H29:I29"/>
    <mergeCell ref="F19:G19"/>
    <mergeCell ref="F39:I39"/>
    <mergeCell ref="B46:C46"/>
    <mergeCell ref="F48:I48"/>
    <mergeCell ref="B3:I3"/>
    <mergeCell ref="B22:I22"/>
    <mergeCell ref="E33:I33"/>
    <mergeCell ref="F37:I37"/>
    <mergeCell ref="G30:I30"/>
    <mergeCell ref="F49:I49"/>
    <mergeCell ref="B43:I43"/>
    <mergeCell ref="B39:C39"/>
    <mergeCell ref="H25:I25"/>
    <mergeCell ref="B21:I21"/>
    <mergeCell ref="B48:C48"/>
    <mergeCell ref="B2:I2"/>
    <mergeCell ref="F11:I11"/>
    <mergeCell ref="F18:G18"/>
    <mergeCell ref="F44:I44"/>
    <mergeCell ref="B32:I32"/>
    <mergeCell ref="F10:I10"/>
    <mergeCell ref="F17:G17"/>
    <mergeCell ref="F6:I6"/>
    <mergeCell ref="H17:I17"/>
    <mergeCell ref="B44:C44"/>
    <mergeCell ref="F40:I40"/>
    <mergeCell ref="B38:C38"/>
    <mergeCell ref="H16:I16"/>
    <mergeCell ref="F7:I7"/>
    <mergeCell ref="B37:C37"/>
    <mergeCell ref="F12:I12"/>
    <mergeCell ref="H19:I19"/>
    <mergeCell ref="B40:C40"/>
    <mergeCell ref="H28:I28"/>
    <mergeCell ref="B49:C49"/>
    <mergeCell ref="F45:I45"/>
    <mergeCell ref="H27:I27"/>
    <mergeCell ref="F36:I36"/>
    <mergeCell ref="B30:C30"/>
    <mergeCell ref="F41:I41"/>
    <mergeCell ref="B15:I15"/>
    <mergeCell ref="B33:C33"/>
    <mergeCell ref="F8:I8"/>
    <mergeCell ref="H24:I24"/>
    <mergeCell ref="H18:I18"/>
    <mergeCell ref="B45:C45"/>
    <mergeCell ref="F47:I47"/>
    <mergeCell ref="B36:C36"/>
    <mergeCell ref="B5:I5"/>
    <mergeCell ref="H23:I23"/>
    <mergeCell ref="F38:I38"/>
    <mergeCell ref="B41:C41"/>
    <mergeCell ref="B35:I35"/>
    <mergeCell ref="F46:I46"/>
    <mergeCell ref="H26:I26"/>
  </mergeCells>
  <dataValidations count="3">
    <dataValidation sqref="E37:E41 E45:E49" showDropDown="0" showInputMessage="0" showErrorMessage="0" allowBlank="1" type="list">
      <formula1>"Đạt,Chưa,N/A"</formula1>
    </dataValidation>
    <dataValidation sqref="D37:D41 D45:D49" showDropDown="0" showInputMessage="0" showErrorMessage="0" allowBlank="1" type="list">
      <formula1>"Có,Không"</formula1>
    </dataValidation>
    <dataValidation sqref="D7:D12" showDropDown="0" showInputMessage="0" showErrorMessage="0" allowBlank="1" type="list">
      <formula1>"Yes,No"</formula1>
    </dataValidation>
  </dataValidations>
  <printOptions horizontalCentered="1"/>
  <pageMargins left="0.3" right="0.3" top="0.5" bottom="0.5" header="0" footer="0"/>
  <pageSetup orientation="landscape" fitToHeight="0"/>
  <headerFooter>
    <oddHeader/>
    <oddFooter>&amp;LMã hiệu: 7.1-BM/PM/HDCV/ISC&amp;CFPT Telecom — Lưu hành nội bộ&amp;RTrang &amp;P/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2026-10-15T06:38:21Z</dcterms:created>
  <dcterms:modified xmlns:dcterms="http://purl.org/dc/terms/" xmlns:xsi="http://www.w3.org/2001/XMLSchema-instance" xsi:type="dcterms:W3CDTF">2026-10-15T06:38:21Z</dcterms:modified>
</cp:coreProperties>
</file>